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280" documentId="8_{3811E941-8018-40D3-99B0-7EE44C8386A1}" xr6:coauthVersionLast="47" xr6:coauthVersionMax="47" xr10:uidLastSave="{D57FC45D-7C30-492D-BE87-C9A475B53110}"/>
  <bookViews>
    <workbookView xWindow="10968" yWindow="132" windowWidth="12048" windowHeight="11556" activeTab="2" xr2:uid="{2C41654C-0AB6-4DBC-8362-6A247B7F29DA}"/>
  </bookViews>
  <sheets>
    <sheet name="All_ANAE" sheetId="1" r:id="rId1"/>
    <sheet name="Major_&gt;1%" sheetId="5" r:id="rId2"/>
    <sheet name="Major_&gt;5%" sheetId="6" r:id="rId3"/>
    <sheet name="ANAE_all_formula" sheetId="4" r:id="rId4"/>
    <sheet name="oldbound_statevegesumm" sheetId="3" r:id="rId5"/>
    <sheet name="chowilla_renmark_original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D111" i="4"/>
  <c r="E111" i="4" s="1"/>
  <c r="D110" i="4"/>
  <c r="E110" i="4" s="1"/>
  <c r="D109" i="4"/>
  <c r="E109" i="4" s="1"/>
  <c r="D108" i="4"/>
  <c r="E107" i="4"/>
  <c r="D107" i="4"/>
  <c r="D106" i="4"/>
  <c r="E106" i="4" s="1"/>
  <c r="D105" i="4"/>
  <c r="D104" i="4"/>
  <c r="D103" i="4"/>
  <c r="E103" i="4" s="1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J10" i="4"/>
  <c r="E10" i="4"/>
  <c r="J9" i="4"/>
  <c r="E9" i="4"/>
  <c r="J8" i="4"/>
  <c r="H8" i="4"/>
  <c r="E105" i="4" s="1"/>
  <c r="D8" i="4"/>
  <c r="J7" i="4"/>
  <c r="D7" i="4"/>
  <c r="J6" i="4"/>
  <c r="D6" i="4"/>
  <c r="J5" i="4"/>
  <c r="D5" i="4"/>
  <c r="J4" i="4"/>
  <c r="D4" i="4"/>
  <c r="J3" i="4"/>
  <c r="D3" i="4"/>
  <c r="H2" i="4" s="1"/>
  <c r="D2" i="4"/>
  <c r="C17" i="3"/>
  <c r="D17" i="3"/>
  <c r="E17" i="3"/>
  <c r="F17" i="3"/>
  <c r="G17" i="3"/>
  <c r="H17" i="3"/>
  <c r="I17" i="3"/>
  <c r="J17" i="3"/>
  <c r="K17" i="3"/>
  <c r="B17" i="3"/>
  <c r="J2" i="4" l="1"/>
  <c r="E108" i="4"/>
  <c r="E104" i="4"/>
</calcChain>
</file>

<file path=xl/sharedStrings.xml><?xml version="1.0" encoding="utf-8"?>
<sst xmlns="http://schemas.openxmlformats.org/spreadsheetml/2006/main" count="1115" uniqueCount="88">
  <si>
    <t>ANAE_TYPE</t>
  </si>
  <si>
    <t>Wetland</t>
  </si>
  <si>
    <t>Pt1.6.2: Temporary woodland swamp</t>
  </si>
  <si>
    <t>Yantabulla</t>
  </si>
  <si>
    <t>Lp1.1: Permanent lake</t>
  </si>
  <si>
    <t>Pp4.2: Permanent wetland</t>
  </si>
  <si>
    <t>Pt1.8.2: Temporary shrub swamp</t>
  </si>
  <si>
    <t>Lt1.1: Temporary lake</t>
  </si>
  <si>
    <t>Pps5: Permanent spring</t>
  </si>
  <si>
    <t>Rp1.4: Permanent lowland stream</t>
  </si>
  <si>
    <t>Hattah Lakes</t>
  </si>
  <si>
    <t>Pt1.1.2: Temporary river red gum swamp</t>
  </si>
  <si>
    <t>Pt1.2.2: Temporary black box swamp</t>
  </si>
  <si>
    <t>Pt2.3.2: Freshwater meadow</t>
  </si>
  <si>
    <t>Pt1.7.2: Temporary lignum swamp</t>
  </si>
  <si>
    <t>Pt3.1.2: Clay pan</t>
  </si>
  <si>
    <t>Pt4.1: Floodplain or riparian wetland</t>
  </si>
  <si>
    <t>Pt1.1.1: River red gum riparian zone or floodplain</t>
  </si>
  <si>
    <t>Pt1.2.1: Black box riparian zone or floodplain</t>
  </si>
  <si>
    <t>Pt1.8.1: Riparian or floodplain shrubland</t>
  </si>
  <si>
    <t>Pt1.6.1: Riparian or floodplain woodland</t>
  </si>
  <si>
    <t>Pt1.7.1: Lignum riparian zone or floodplain</t>
  </si>
  <si>
    <t>Rt1.4: Temporary lowland stream</t>
  </si>
  <si>
    <t>Pt1: Temporary swamp</t>
  </si>
  <si>
    <t>Renmark</t>
  </si>
  <si>
    <t>Psp4: Permanent saline wetland</t>
  </si>
  <si>
    <t>Pu1: Unspecified wetland</t>
  </si>
  <si>
    <t>Pt1.4.1: River cooba riparian zone or floodplain</t>
  </si>
  <si>
    <t>Pt2.1.2: Temporary tall emergent marsh</t>
  </si>
  <si>
    <t>Pp2.1.2: Permanent tall emergent marsh</t>
  </si>
  <si>
    <t>Rt1: Temporary stream</t>
  </si>
  <si>
    <t>Rp1: Permanent stream</t>
  </si>
  <si>
    <t>Cumbung</t>
  </si>
  <si>
    <t>Pst2.2: Temporary salt marsh</t>
  </si>
  <si>
    <t>Pt2.2.2: Temporary sedge/grass/forb marsh</t>
  </si>
  <si>
    <t>Lowbidgee</t>
  </si>
  <si>
    <t>Pp2.2.2: Permanent sedge/grass/forb marsh</t>
  </si>
  <si>
    <t>Pp2.3.2: Permanent grass marsh</t>
  </si>
  <si>
    <t>Rp1.3: Permanent low energy upland stream</t>
  </si>
  <si>
    <t>Booligal</t>
  </si>
  <si>
    <t>Macquarie marshes</t>
  </si>
  <si>
    <t>Pt4.2: Temporary wetland</t>
  </si>
  <si>
    <t>Pt1.3.1: Coolibah riparian zone or floodplain</t>
  </si>
  <si>
    <t>Paroo</t>
  </si>
  <si>
    <t>Gwydir</t>
  </si>
  <si>
    <t>Chowilla-Lindsay-Wallpolla</t>
  </si>
  <si>
    <t>Pp2.4.2: Permanent forb marsh</t>
  </si>
  <si>
    <t>Rt1.2: Temporary transitional zone stream</t>
  </si>
  <si>
    <t>Rt1.3: Temporary low energy upland stream</t>
  </si>
  <si>
    <t>Rp1.1: Permanent high energy upland stream</t>
  </si>
  <si>
    <t>Rp1.2: Permanent transitional zone stream</t>
  </si>
  <si>
    <t>Murray Riverland wetlands</t>
  </si>
  <si>
    <t>Area (ha)</t>
  </si>
  <si>
    <t>area_ha</t>
  </si>
  <si>
    <t>Total complex area</t>
  </si>
  <si>
    <t>% ANAE</t>
  </si>
  <si>
    <t>VegeType</t>
  </si>
  <si>
    <t>Chowilla_Lindsay_Walpolla</t>
  </si>
  <si>
    <t>Hattah_lakes</t>
  </si>
  <si>
    <t>Macquarie_marshes</t>
  </si>
  <si>
    <t>Paroo_overflow_wetlands</t>
  </si>
  <si>
    <t>Black Box woodland wetland</t>
  </si>
  <si>
    <t xml:space="preserve"> </t>
  </si>
  <si>
    <t>River Red gum tall open forest or woodland wetland</t>
  </si>
  <si>
    <t>Coolabah - River Coobah - Lignum woodland wetland</t>
  </si>
  <si>
    <t>Coolabah open woodland wetland</t>
  </si>
  <si>
    <t>River Red Gum - Black Box woodland wetland</t>
  </si>
  <si>
    <t>Nitre Goosefoot shrubland wetland</t>
  </si>
  <si>
    <t>Lignum shrubland wetland</t>
  </si>
  <si>
    <t>Canegrass swamp tall grassland wetland</t>
  </si>
  <si>
    <t>Riparian Scrubs or Swampy Scrubs and Woodlands</t>
  </si>
  <si>
    <t>Grassland wetland</t>
  </si>
  <si>
    <t>Wetland vegetation</t>
  </si>
  <si>
    <t>Chenopod low open shrubland - ephemeral partly derived forbland saline wetland</t>
  </si>
  <si>
    <t>Other</t>
  </si>
  <si>
    <t>TOTAL</t>
  </si>
  <si>
    <t>Total wetland area</t>
  </si>
  <si>
    <t>ANAE/vege %</t>
  </si>
  <si>
    <t>% ANAE area</t>
  </si>
  <si>
    <t>Modified_area</t>
  </si>
  <si>
    <t>Modified ANAE area (ha)</t>
  </si>
  <si>
    <t>Modifications</t>
  </si>
  <si>
    <t>Wetland vege layer showed wetlands make up at least double what ANAE layer says for Paroo and Yantabulla</t>
  </si>
  <si>
    <t>Yantabulla - doubled everything based on visual inspection of vege vs ANAE</t>
  </si>
  <si>
    <t>Paroo - doubled everything except lakes based on visual inspection of vege vs ANAE</t>
  </si>
  <si>
    <t>area.ha</t>
  </si>
  <si>
    <t>proportion</t>
  </si>
  <si>
    <t>Macquarie marshes- changed permanent wetlands into permanent tall emergent marshes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</si>
</sst>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0" borderId="0" xfId="0" applyFont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9A8D-6A13-48CD-A745-18E55D4CA92C}">
  <dimension ref="A1:I161"/>
  <sheetViews>
    <sheetView topLeftCell="A82" workbookViewId="0">
      <selection activeCell="A99" sqref="A99"/>
    </sheetView>
  </sheetViews>
  <sheetFormatPr defaultRowHeight="13.8" customHeight="1" x14ac:dyDescent="0.3"/>
  <cols>
    <col min="1" max="1" width="50" customWidth="1"/>
    <col min="2" max="2" width="24.109375" customWidth="1"/>
    <col min="3" max="3" width="9.5546875" bestFit="1" customWidth="1"/>
    <col min="4" max="4" width="11.5546875" bestFit="1" customWidth="1"/>
    <col min="6" max="6" width="22" customWidth="1"/>
    <col min="7" max="7" width="16.6640625" customWidth="1"/>
    <col min="8" max="8" width="18.109375" customWidth="1"/>
    <col min="11" max="11" width="41.5546875" bestFit="1" customWidth="1"/>
  </cols>
  <sheetData>
    <row r="1" spans="1:9" ht="13.8" customHeight="1" x14ac:dyDescent="0.3">
      <c r="A1" s="1" t="s">
        <v>0</v>
      </c>
      <c r="B1" s="1" t="s">
        <v>1</v>
      </c>
      <c r="C1" s="4" t="s">
        <v>85</v>
      </c>
      <c r="D1" s="4" t="s">
        <v>86</v>
      </c>
      <c r="F1" s="2"/>
      <c r="G1" s="2"/>
      <c r="H1" s="2"/>
      <c r="I1" s="2"/>
    </row>
    <row r="2" spans="1:9" ht="13.8" customHeight="1" x14ac:dyDescent="0.3">
      <c r="A2" s="1" t="s">
        <v>19</v>
      </c>
      <c r="B2" s="1" t="s">
        <v>39</v>
      </c>
      <c r="C2" s="4">
        <v>83526.822</v>
      </c>
      <c r="D2" s="4">
        <v>53.24884433243777</v>
      </c>
      <c r="F2" s="3"/>
      <c r="G2" s="3"/>
      <c r="H2" s="4"/>
    </row>
    <row r="3" spans="1:9" ht="13.8" customHeight="1" x14ac:dyDescent="0.3">
      <c r="A3" s="1" t="s">
        <v>18</v>
      </c>
      <c r="B3" s="1" t="s">
        <v>39</v>
      </c>
      <c r="C3" s="4">
        <v>33793.953999999998</v>
      </c>
      <c r="D3" s="4">
        <v>21.543846070470185</v>
      </c>
      <c r="F3" s="3"/>
      <c r="G3" s="3"/>
      <c r="H3" s="4"/>
    </row>
    <row r="4" spans="1:9" ht="13.8" customHeight="1" x14ac:dyDescent="0.3">
      <c r="A4" s="1" t="s">
        <v>17</v>
      </c>
      <c r="B4" s="1" t="s">
        <v>39</v>
      </c>
      <c r="C4" s="4">
        <v>26788.695</v>
      </c>
      <c r="D4" s="4">
        <v>17.077951917339249</v>
      </c>
      <c r="F4" s="3"/>
      <c r="G4" s="3"/>
      <c r="H4" s="4"/>
    </row>
    <row r="5" spans="1:9" ht="13.8" customHeight="1" x14ac:dyDescent="0.3">
      <c r="A5" s="1" t="s">
        <v>12</v>
      </c>
      <c r="B5" s="1" t="s">
        <v>39</v>
      </c>
      <c r="C5" s="4">
        <v>2962.4029999999998</v>
      </c>
      <c r="D5" s="4">
        <v>1.8885494793151194</v>
      </c>
      <c r="F5" s="3"/>
      <c r="G5" s="3"/>
      <c r="H5" s="4"/>
    </row>
    <row r="6" spans="1:9" ht="13.8" customHeight="1" x14ac:dyDescent="0.3">
      <c r="A6" s="1" t="s">
        <v>14</v>
      </c>
      <c r="B6" s="1" t="s">
        <v>39</v>
      </c>
      <c r="C6" s="4">
        <v>1673.5409999999999</v>
      </c>
      <c r="D6" s="4">
        <v>1.0668923114655582</v>
      </c>
      <c r="F6" s="3"/>
      <c r="G6" s="3"/>
      <c r="H6" s="4"/>
    </row>
    <row r="7" spans="1:9" ht="13.8" customHeight="1" x14ac:dyDescent="0.3">
      <c r="A7" s="1" t="s">
        <v>33</v>
      </c>
      <c r="B7" s="1" t="s">
        <v>39</v>
      </c>
      <c r="C7" s="4">
        <v>1619.848</v>
      </c>
      <c r="D7" s="4">
        <v>1.0326627055703217</v>
      </c>
      <c r="F7" s="3"/>
      <c r="G7" s="3"/>
      <c r="H7" s="4"/>
    </row>
    <row r="8" spans="1:9" ht="13.8" customHeight="1" x14ac:dyDescent="0.3">
      <c r="A8" s="1" t="s">
        <v>7</v>
      </c>
      <c r="B8" s="1" t="s">
        <v>39</v>
      </c>
      <c r="C8" s="4">
        <v>1213.787</v>
      </c>
      <c r="D8" s="4">
        <v>0.77379641016075829</v>
      </c>
      <c r="F8" s="3"/>
      <c r="G8" s="3"/>
      <c r="H8" s="4"/>
    </row>
    <row r="9" spans="1:9" ht="13.8" customHeight="1" x14ac:dyDescent="0.3">
      <c r="A9" s="1" t="s">
        <v>6</v>
      </c>
      <c r="B9" s="1" t="s">
        <v>39</v>
      </c>
      <c r="C9" s="1">
        <v>1105.038</v>
      </c>
      <c r="D9" s="4">
        <v>0.70446827778780297</v>
      </c>
      <c r="F9" s="3"/>
      <c r="G9" s="3"/>
      <c r="H9" s="4"/>
    </row>
    <row r="10" spans="1:9" ht="13.8" customHeight="1" x14ac:dyDescent="0.3">
      <c r="A10" s="1" t="s">
        <v>22</v>
      </c>
      <c r="B10" s="1" t="s">
        <v>39</v>
      </c>
      <c r="C10" s="1">
        <v>889.18799999999999</v>
      </c>
      <c r="D10" s="4">
        <v>0.56686262281440181</v>
      </c>
      <c r="F10" s="3"/>
      <c r="G10" s="3"/>
      <c r="H10" s="3"/>
    </row>
    <row r="11" spans="1:9" ht="13.8" customHeight="1" x14ac:dyDescent="0.3">
      <c r="A11" s="1" t="s">
        <v>9</v>
      </c>
      <c r="B11" s="1" t="s">
        <v>39</v>
      </c>
      <c r="C11" s="1">
        <v>847.726</v>
      </c>
      <c r="D11" s="4">
        <v>0.54043035194802624</v>
      </c>
    </row>
    <row r="12" spans="1:9" ht="13.8" customHeight="1" x14ac:dyDescent="0.3">
      <c r="A12" s="1" t="s">
        <v>21</v>
      </c>
      <c r="B12" s="1" t="s">
        <v>39</v>
      </c>
      <c r="C12" s="1">
        <v>758.90599999999995</v>
      </c>
      <c r="D12" s="4">
        <v>0.48380707525246225</v>
      </c>
      <c r="F12" s="5"/>
    </row>
    <row r="13" spans="1:9" ht="13.8" customHeight="1" x14ac:dyDescent="0.3">
      <c r="A13" s="1" t="s">
        <v>13</v>
      </c>
      <c r="B13" s="1" t="s">
        <v>39</v>
      </c>
      <c r="C13" s="1">
        <v>719.327</v>
      </c>
      <c r="D13" s="4">
        <v>0.45857522805212758</v>
      </c>
      <c r="F13" s="4"/>
      <c r="G13" s="4"/>
    </row>
    <row r="14" spans="1:9" ht="13.8" customHeight="1" x14ac:dyDescent="0.3">
      <c r="A14" s="1" t="s">
        <v>4</v>
      </c>
      <c r="B14" s="1" t="s">
        <v>39</v>
      </c>
      <c r="C14" s="1">
        <v>534.21299999999997</v>
      </c>
      <c r="D14" s="4">
        <v>0.34056395534077155</v>
      </c>
      <c r="F14" s="4"/>
      <c r="G14" s="4"/>
    </row>
    <row r="15" spans="1:9" ht="13.8" customHeight="1" x14ac:dyDescent="0.3">
      <c r="A15" s="1" t="s">
        <v>11</v>
      </c>
      <c r="B15" s="1" t="s">
        <v>39</v>
      </c>
      <c r="C15" s="1">
        <v>253.79400000000001</v>
      </c>
      <c r="D15" s="4">
        <v>0.16179517997831538</v>
      </c>
      <c r="F15" s="4"/>
      <c r="G15" s="4"/>
    </row>
    <row r="16" spans="1:9" ht="13.8" customHeight="1" x14ac:dyDescent="0.3">
      <c r="A16" s="1" t="s">
        <v>5</v>
      </c>
      <c r="B16" s="1" t="s">
        <v>39</v>
      </c>
      <c r="C16" s="1">
        <v>132.22399999999999</v>
      </c>
      <c r="D16" s="4">
        <v>8.4293584077845693E-2</v>
      </c>
      <c r="F16" s="4"/>
      <c r="G16" s="4"/>
    </row>
    <row r="17" spans="1:7" ht="13.8" customHeight="1" x14ac:dyDescent="0.3">
      <c r="A17" s="1" t="s">
        <v>34</v>
      </c>
      <c r="B17" s="1" t="s">
        <v>39</v>
      </c>
      <c r="C17" s="1">
        <v>21.596</v>
      </c>
      <c r="D17" s="4">
        <v>1.3767578062569246E-2</v>
      </c>
      <c r="F17" s="4"/>
      <c r="G17" s="4"/>
    </row>
    <row r="18" spans="1:7" ht="13.8" customHeight="1" x14ac:dyDescent="0.3">
      <c r="A18" s="1" t="s">
        <v>15</v>
      </c>
      <c r="B18" s="1" t="s">
        <v>39</v>
      </c>
      <c r="C18" s="1">
        <v>16.975999999999999</v>
      </c>
      <c r="D18" s="4">
        <v>1.0822300666335223E-2</v>
      </c>
      <c r="F18" s="4"/>
      <c r="G18" s="4"/>
    </row>
    <row r="19" spans="1:7" ht="13.8" customHeight="1" x14ac:dyDescent="0.3">
      <c r="A19" s="1" t="s">
        <v>27</v>
      </c>
      <c r="B19" s="1" t="s">
        <v>39</v>
      </c>
      <c r="C19" s="1">
        <v>3.2480000000000002</v>
      </c>
      <c r="D19" s="4">
        <v>2.0706192603827055E-3</v>
      </c>
      <c r="F19" s="4"/>
      <c r="G19" s="4"/>
    </row>
    <row r="20" spans="1:7" ht="13.8" customHeight="1" x14ac:dyDescent="0.3">
      <c r="A20" s="1" t="s">
        <v>17</v>
      </c>
      <c r="B20" s="1" t="s">
        <v>32</v>
      </c>
      <c r="C20" s="1">
        <v>19993.378000000001</v>
      </c>
      <c r="D20" s="4">
        <v>54.357076529254954</v>
      </c>
      <c r="F20" s="4"/>
      <c r="G20" s="4"/>
    </row>
    <row r="21" spans="1:7" ht="13.8" customHeight="1" x14ac:dyDescent="0.3">
      <c r="A21" s="1" t="s">
        <v>18</v>
      </c>
      <c r="B21" s="1" t="s">
        <v>32</v>
      </c>
      <c r="C21" s="1">
        <v>9582.7870000000003</v>
      </c>
      <c r="D21" s="4">
        <v>26.053240544071617</v>
      </c>
      <c r="F21" s="4"/>
      <c r="G21" s="4"/>
    </row>
    <row r="22" spans="1:7" ht="13.8" customHeight="1" x14ac:dyDescent="0.3">
      <c r="A22" s="1" t="s">
        <v>29</v>
      </c>
      <c r="B22" s="1" t="s">
        <v>32</v>
      </c>
      <c r="C22" s="1">
        <v>3449.029</v>
      </c>
      <c r="D22" s="4">
        <v>9.3770614102639218</v>
      </c>
      <c r="F22" s="4"/>
      <c r="G22" s="4"/>
    </row>
    <row r="23" spans="1:7" ht="13.8" customHeight="1" x14ac:dyDescent="0.3">
      <c r="A23" s="1" t="s">
        <v>19</v>
      </c>
      <c r="B23" s="1" t="s">
        <v>32</v>
      </c>
      <c r="C23" s="1">
        <v>959.33900000000006</v>
      </c>
      <c r="D23" s="4">
        <v>2.6082067492796321</v>
      </c>
      <c r="F23" s="4"/>
      <c r="G23" s="4"/>
    </row>
    <row r="24" spans="1:7" ht="13.8" customHeight="1" x14ac:dyDescent="0.3">
      <c r="A24" s="1" t="s">
        <v>28</v>
      </c>
      <c r="B24" s="1" t="s">
        <v>32</v>
      </c>
      <c r="C24" s="1">
        <v>560.476</v>
      </c>
      <c r="D24" s="4">
        <v>1.5237963702187143</v>
      </c>
    </row>
    <row r="25" spans="1:7" ht="13.8" customHeight="1" x14ac:dyDescent="0.3">
      <c r="A25" s="1" t="s">
        <v>7</v>
      </c>
      <c r="B25" s="1" t="s">
        <v>32</v>
      </c>
      <c r="C25" s="1">
        <v>529.52700000000004</v>
      </c>
      <c r="D25" s="4">
        <v>1.4396536524896788</v>
      </c>
    </row>
    <row r="26" spans="1:7" ht="13.8" customHeight="1" x14ac:dyDescent="0.3">
      <c r="A26" s="1" t="s">
        <v>11</v>
      </c>
      <c r="B26" s="1" t="s">
        <v>32</v>
      </c>
      <c r="C26" s="1">
        <v>432.30599999999998</v>
      </c>
      <c r="D26" s="4">
        <v>1.1753336692807033</v>
      </c>
    </row>
    <row r="27" spans="1:7" ht="13.8" customHeight="1" x14ac:dyDescent="0.3">
      <c r="A27" s="1" t="s">
        <v>34</v>
      </c>
      <c r="B27" s="1" t="s">
        <v>32</v>
      </c>
      <c r="C27" s="1">
        <v>327.49599999999998</v>
      </c>
      <c r="D27" s="4">
        <v>0.89038106192084587</v>
      </c>
    </row>
    <row r="28" spans="1:7" ht="13.8" customHeight="1" x14ac:dyDescent="0.3">
      <c r="A28" s="1" t="s">
        <v>13</v>
      </c>
      <c r="B28" s="1" t="s">
        <v>32</v>
      </c>
      <c r="C28" s="1">
        <v>325.91000000000003</v>
      </c>
      <c r="D28" s="4">
        <v>0.88606911806746613</v>
      </c>
    </row>
    <row r="29" spans="1:7" ht="13.8" customHeight="1" x14ac:dyDescent="0.3">
      <c r="A29" s="1" t="s">
        <v>21</v>
      </c>
      <c r="B29" s="1" t="s">
        <v>32</v>
      </c>
      <c r="C29" s="1">
        <v>301.529</v>
      </c>
      <c r="D29" s="4">
        <v>0.81978317664927436</v>
      </c>
    </row>
    <row r="30" spans="1:7" ht="13.8" customHeight="1" x14ac:dyDescent="0.3">
      <c r="A30" s="1" t="s">
        <v>4</v>
      </c>
      <c r="B30" s="1" t="s">
        <v>32</v>
      </c>
      <c r="C30" s="1">
        <v>177.191</v>
      </c>
      <c r="D30" s="4">
        <v>0.48173874106192627</v>
      </c>
    </row>
    <row r="31" spans="1:7" ht="13.8" customHeight="1" x14ac:dyDescent="0.3">
      <c r="A31" s="1" t="s">
        <v>12</v>
      </c>
      <c r="B31" s="1" t="s">
        <v>32</v>
      </c>
      <c r="C31" s="1">
        <v>88.025000000000006</v>
      </c>
      <c r="D31" s="4">
        <v>0.23931832137058917</v>
      </c>
    </row>
    <row r="32" spans="1:7" ht="13.8" customHeight="1" x14ac:dyDescent="0.3">
      <c r="A32" s="1" t="s">
        <v>33</v>
      </c>
      <c r="B32" s="1" t="s">
        <v>32</v>
      </c>
      <c r="C32" s="1">
        <v>31.817</v>
      </c>
      <c r="D32" s="4">
        <v>8.6502596206169097E-2</v>
      </c>
    </row>
    <row r="33" spans="1:4" ht="13.8" customHeight="1" x14ac:dyDescent="0.3">
      <c r="A33" s="1" t="s">
        <v>15</v>
      </c>
      <c r="B33" s="1" t="s">
        <v>32</v>
      </c>
      <c r="C33" s="1">
        <v>13.063000000000001</v>
      </c>
      <c r="D33" s="4">
        <v>3.5515083579255959E-2</v>
      </c>
    </row>
    <row r="34" spans="1:4" ht="13.8" customHeight="1" x14ac:dyDescent="0.3">
      <c r="A34" s="1" t="s">
        <v>5</v>
      </c>
      <c r="B34" s="1" t="s">
        <v>32</v>
      </c>
      <c r="C34" s="1">
        <v>9.6820000000000004</v>
      </c>
      <c r="D34" s="4">
        <v>2.6322976285260369E-2</v>
      </c>
    </row>
    <row r="35" spans="1:4" ht="13.8" customHeight="1" x14ac:dyDescent="0.3">
      <c r="A35" s="1" t="s">
        <v>42</v>
      </c>
      <c r="B35" s="1" t="s">
        <v>44</v>
      </c>
      <c r="C35" s="1">
        <v>27359.913</v>
      </c>
      <c r="D35" s="4">
        <v>64.15040513595028</v>
      </c>
    </row>
    <row r="36" spans="1:4" ht="13.8" customHeight="1" x14ac:dyDescent="0.3">
      <c r="A36" s="1" t="s">
        <v>34</v>
      </c>
      <c r="B36" s="1" t="s">
        <v>44</v>
      </c>
      <c r="C36" s="1">
        <v>7628.6980000000003</v>
      </c>
      <c r="D36" s="4">
        <v>17.886901444453187</v>
      </c>
    </row>
    <row r="37" spans="1:4" ht="13.8" customHeight="1" x14ac:dyDescent="0.3">
      <c r="A37" s="1" t="s">
        <v>27</v>
      </c>
      <c r="B37" s="1" t="s">
        <v>44</v>
      </c>
      <c r="C37" s="1">
        <v>3568.8380000000002</v>
      </c>
      <c r="D37" s="4">
        <v>8.3678045162122583</v>
      </c>
    </row>
    <row r="38" spans="1:4" ht="13.8" customHeight="1" x14ac:dyDescent="0.3">
      <c r="A38" s="1" t="s">
        <v>17</v>
      </c>
      <c r="B38" s="1" t="s">
        <v>44</v>
      </c>
      <c r="C38" s="1">
        <v>3207.5259999999998</v>
      </c>
      <c r="D38" s="4">
        <v>7.5206413260193479</v>
      </c>
    </row>
    <row r="39" spans="1:4" ht="13.8" customHeight="1" x14ac:dyDescent="0.3">
      <c r="A39" s="1" t="s">
        <v>28</v>
      </c>
      <c r="B39" s="1" t="s">
        <v>44</v>
      </c>
      <c r="C39" s="1">
        <v>373.41399999999999</v>
      </c>
      <c r="D39" s="4">
        <v>0.87553858023728848</v>
      </c>
    </row>
    <row r="40" spans="1:4" ht="13.8" customHeight="1" x14ac:dyDescent="0.3">
      <c r="A40" s="1" t="s">
        <v>22</v>
      </c>
      <c r="B40" s="1" t="s">
        <v>44</v>
      </c>
      <c r="C40" s="1">
        <v>153.40799999999999</v>
      </c>
      <c r="D40" s="4">
        <v>0.3596935908054919</v>
      </c>
    </row>
    <row r="41" spans="1:4" ht="13.8" customHeight="1" x14ac:dyDescent="0.3">
      <c r="A41" s="1" t="s">
        <v>7</v>
      </c>
      <c r="B41" s="1" t="s">
        <v>44</v>
      </c>
      <c r="C41" s="1">
        <v>77.789000000000001</v>
      </c>
      <c r="D41" s="4">
        <v>0.18239077971923506</v>
      </c>
    </row>
    <row r="42" spans="1:4" ht="13.8" customHeight="1" x14ac:dyDescent="0.3">
      <c r="A42" s="1" t="s">
        <v>19</v>
      </c>
      <c r="B42" s="1" t="s">
        <v>44</v>
      </c>
      <c r="C42" s="1">
        <v>66.844999999999999</v>
      </c>
      <c r="D42" s="4">
        <v>0.15673053606978193</v>
      </c>
    </row>
    <row r="43" spans="1:4" ht="13.8" customHeight="1" x14ac:dyDescent="0.3">
      <c r="A43" s="1" t="s">
        <v>9</v>
      </c>
      <c r="B43" s="1" t="s">
        <v>44</v>
      </c>
      <c r="C43" s="1">
        <v>53.975999999999999</v>
      </c>
      <c r="D43" s="4">
        <v>0.12655677185881589</v>
      </c>
    </row>
    <row r="44" spans="1:4" ht="13.8" customHeight="1" x14ac:dyDescent="0.3">
      <c r="A44" s="1" t="s">
        <v>15</v>
      </c>
      <c r="B44" s="1" t="s">
        <v>44</v>
      </c>
      <c r="C44" s="1">
        <v>42.3</v>
      </c>
      <c r="D44" s="4">
        <v>9.9180218052984909E-2</v>
      </c>
    </row>
    <row r="45" spans="1:4" ht="13.8" customHeight="1" x14ac:dyDescent="0.3">
      <c r="A45" s="1" t="s">
        <v>20</v>
      </c>
      <c r="B45" s="1" t="s">
        <v>44</v>
      </c>
      <c r="C45" s="1">
        <v>41.194000000000003</v>
      </c>
      <c r="D45" s="4">
        <v>9.6586995330370226E-2</v>
      </c>
    </row>
    <row r="46" spans="1:4" ht="13.8" customHeight="1" x14ac:dyDescent="0.3">
      <c r="A46" s="1" t="s">
        <v>4</v>
      </c>
      <c r="B46" s="1" t="s">
        <v>44</v>
      </c>
      <c r="C46" s="1">
        <v>26.241</v>
      </c>
      <c r="D46" s="4">
        <v>6.1526905482940347E-2</v>
      </c>
    </row>
    <row r="47" spans="1:4" ht="13.8" customHeight="1" x14ac:dyDescent="0.3">
      <c r="A47" s="1" t="s">
        <v>21</v>
      </c>
      <c r="B47" s="1" t="s">
        <v>44</v>
      </c>
      <c r="C47" s="1">
        <v>23.074999999999999</v>
      </c>
      <c r="D47" s="4">
        <v>5.410362958800536E-2</v>
      </c>
    </row>
    <row r="48" spans="1:4" ht="13.8" customHeight="1" x14ac:dyDescent="0.3">
      <c r="A48" s="1" t="s">
        <v>38</v>
      </c>
      <c r="B48" s="1" t="s">
        <v>44</v>
      </c>
      <c r="C48" s="1">
        <v>19.024999999999999</v>
      </c>
      <c r="D48" s="4">
        <v>4.4607651263783396E-2</v>
      </c>
    </row>
    <row r="49" spans="1:4" ht="13.8" customHeight="1" x14ac:dyDescent="0.3">
      <c r="A49" s="1" t="s">
        <v>2</v>
      </c>
      <c r="B49" s="1" t="s">
        <v>44</v>
      </c>
      <c r="C49" s="1">
        <v>3.6070000000000002</v>
      </c>
      <c r="D49" s="4">
        <v>8.4572824235724965E-3</v>
      </c>
    </row>
    <row r="50" spans="1:4" ht="13.8" customHeight="1" x14ac:dyDescent="0.3">
      <c r="A50" s="1" t="s">
        <v>6</v>
      </c>
      <c r="B50" s="1" t="s">
        <v>44</v>
      </c>
      <c r="C50" s="1">
        <v>3.1549999999999998</v>
      </c>
      <c r="D50" s="4">
        <v>7.3974843488692037E-3</v>
      </c>
    </row>
    <row r="51" spans="1:4" ht="13.8" customHeight="1" x14ac:dyDescent="0.3">
      <c r="A51" s="1" t="s">
        <v>5</v>
      </c>
      <c r="B51" s="1" t="s">
        <v>44</v>
      </c>
      <c r="C51" s="1">
        <v>0.63</v>
      </c>
      <c r="D51" s="4">
        <v>1.4771521837678603E-3</v>
      </c>
    </row>
    <row r="52" spans="1:4" ht="13.8" customHeight="1" x14ac:dyDescent="0.3">
      <c r="A52" s="1" t="s">
        <v>18</v>
      </c>
      <c r="B52" s="1" t="s">
        <v>10</v>
      </c>
      <c r="C52" s="1">
        <v>5363.7889999999998</v>
      </c>
      <c r="D52" s="4">
        <v>39.417600415767687</v>
      </c>
    </row>
    <row r="53" spans="1:4" ht="13.8" customHeight="1" x14ac:dyDescent="0.3">
      <c r="A53" s="1" t="s">
        <v>17</v>
      </c>
      <c r="B53" s="1" t="s">
        <v>10</v>
      </c>
      <c r="C53" s="1">
        <v>5045.4759999999997</v>
      </c>
      <c r="D53" s="4">
        <v>37.078370695667907</v>
      </c>
    </row>
    <row r="54" spans="1:4" ht="13.8" customHeight="1" x14ac:dyDescent="0.3">
      <c r="A54" s="1" t="s">
        <v>7</v>
      </c>
      <c r="B54" s="1" t="s">
        <v>10</v>
      </c>
      <c r="C54" s="1">
        <v>810.97900000000004</v>
      </c>
      <c r="D54" s="4">
        <v>5.9597508715534602</v>
      </c>
    </row>
    <row r="55" spans="1:4" ht="13.8" customHeight="1" x14ac:dyDescent="0.3">
      <c r="A55" s="1" t="s">
        <v>20</v>
      </c>
      <c r="B55" s="1" t="s">
        <v>10</v>
      </c>
      <c r="C55" s="1">
        <v>741.66399999999999</v>
      </c>
      <c r="D55" s="4">
        <v>5.4503663724952496</v>
      </c>
    </row>
    <row r="56" spans="1:4" ht="13.8" customHeight="1" x14ac:dyDescent="0.3">
      <c r="A56" s="1" t="s">
        <v>4</v>
      </c>
      <c r="B56" s="1" t="s">
        <v>10</v>
      </c>
      <c r="C56" s="1">
        <v>451.23200000000003</v>
      </c>
      <c r="D56" s="4">
        <v>3.3160295214460684</v>
      </c>
    </row>
    <row r="57" spans="1:4" ht="13.8" customHeight="1" x14ac:dyDescent="0.3">
      <c r="A57" s="1" t="s">
        <v>13</v>
      </c>
      <c r="B57" s="1" t="s">
        <v>10</v>
      </c>
      <c r="C57" s="1">
        <v>449.32799999999997</v>
      </c>
      <c r="D57" s="4">
        <v>3.3020373395776867</v>
      </c>
    </row>
    <row r="58" spans="1:4" ht="13.8" customHeight="1" x14ac:dyDescent="0.3">
      <c r="A58" s="1" t="s">
        <v>11</v>
      </c>
      <c r="B58" s="1" t="s">
        <v>10</v>
      </c>
      <c r="C58" s="1">
        <v>193.26400000000001</v>
      </c>
      <c r="D58" s="4">
        <v>1.4202652503207949</v>
      </c>
    </row>
    <row r="59" spans="1:4" ht="13.8" customHeight="1" x14ac:dyDescent="0.3">
      <c r="A59" s="1" t="s">
        <v>21</v>
      </c>
      <c r="B59" s="1" t="s">
        <v>10</v>
      </c>
      <c r="C59" s="1">
        <v>183.108</v>
      </c>
      <c r="D59" s="4">
        <v>1.3456304819094094</v>
      </c>
    </row>
    <row r="60" spans="1:4" ht="13.8" customHeight="1" x14ac:dyDescent="0.3">
      <c r="A60" s="1" t="s">
        <v>12</v>
      </c>
      <c r="B60" s="1" t="s">
        <v>10</v>
      </c>
      <c r="C60" s="1">
        <v>125.848</v>
      </c>
      <c r="D60" s="4">
        <v>0.92483618895589126</v>
      </c>
    </row>
    <row r="61" spans="1:4" ht="13.8" customHeight="1" x14ac:dyDescent="0.3">
      <c r="A61" s="1" t="s">
        <v>9</v>
      </c>
      <c r="B61" s="1" t="s">
        <v>10</v>
      </c>
      <c r="C61" s="1">
        <v>120.343</v>
      </c>
      <c r="D61" s="4">
        <v>0.88438085219883378</v>
      </c>
    </row>
    <row r="62" spans="1:4" ht="13.8" customHeight="1" x14ac:dyDescent="0.3">
      <c r="A62" s="1" t="s">
        <v>2</v>
      </c>
      <c r="B62" s="1" t="s">
        <v>10</v>
      </c>
      <c r="C62" s="1">
        <v>58.445999999999998</v>
      </c>
      <c r="D62" s="4">
        <v>0.42951001128119654</v>
      </c>
    </row>
    <row r="63" spans="1:4" ht="13.8" customHeight="1" x14ac:dyDescent="0.3">
      <c r="A63" s="1" t="s">
        <v>19</v>
      </c>
      <c r="B63" s="1" t="s">
        <v>10</v>
      </c>
      <c r="C63" s="1">
        <v>22.312999999999999</v>
      </c>
      <c r="D63" s="4">
        <v>0.16397455568759775</v>
      </c>
    </row>
    <row r="64" spans="1:4" ht="13.8" customHeight="1" x14ac:dyDescent="0.3">
      <c r="A64" s="1" t="s">
        <v>15</v>
      </c>
      <c r="B64" s="1" t="s">
        <v>10</v>
      </c>
      <c r="C64" s="1">
        <v>15.456</v>
      </c>
      <c r="D64" s="4">
        <v>0.11358359399038725</v>
      </c>
    </row>
    <row r="65" spans="1:4" ht="13.8" customHeight="1" x14ac:dyDescent="0.3">
      <c r="A65" s="1" t="s">
        <v>14</v>
      </c>
      <c r="B65" s="1" t="s">
        <v>10</v>
      </c>
      <c r="C65" s="1">
        <v>11.311</v>
      </c>
      <c r="D65" s="4">
        <v>8.3122672853601864E-2</v>
      </c>
    </row>
    <row r="66" spans="1:4" ht="13.8" customHeight="1" x14ac:dyDescent="0.3">
      <c r="A66" s="1" t="s">
        <v>22</v>
      </c>
      <c r="B66" s="1" t="s">
        <v>10</v>
      </c>
      <c r="C66" s="1">
        <v>10.298</v>
      </c>
      <c r="D66" s="4">
        <v>7.5678302983502074E-2</v>
      </c>
    </row>
    <row r="67" spans="1:4" ht="13.8" customHeight="1" x14ac:dyDescent="0.3">
      <c r="A67" s="1" t="s">
        <v>6</v>
      </c>
      <c r="B67" s="1" t="s">
        <v>10</v>
      </c>
      <c r="C67" s="1">
        <v>4.282</v>
      </c>
      <c r="D67" s="4">
        <v>3.1467711533827533E-2</v>
      </c>
    </row>
    <row r="68" spans="1:4" ht="13.8" customHeight="1" x14ac:dyDescent="0.3">
      <c r="A68" s="1" t="s">
        <v>5</v>
      </c>
      <c r="B68" s="1" t="s">
        <v>10</v>
      </c>
      <c r="C68" s="1">
        <v>0.40200000000000002</v>
      </c>
      <c r="D68" s="4">
        <v>2.9542316759922156E-3</v>
      </c>
    </row>
    <row r="69" spans="1:4" ht="13.8" customHeight="1" x14ac:dyDescent="0.3">
      <c r="A69" s="1" t="s">
        <v>16</v>
      </c>
      <c r="B69" s="1" t="s">
        <v>10</v>
      </c>
      <c r="C69" s="1">
        <v>0.06</v>
      </c>
      <c r="D69" s="4">
        <v>4.4093010089436043E-4</v>
      </c>
    </row>
    <row r="70" spans="1:4" ht="13.8" customHeight="1" x14ac:dyDescent="0.3">
      <c r="A70" s="1" t="s">
        <v>21</v>
      </c>
      <c r="B70" s="1" t="s">
        <v>35</v>
      </c>
      <c r="C70" s="1">
        <v>41851.046999999897</v>
      </c>
      <c r="D70" s="4">
        <v>32.470186170932855</v>
      </c>
    </row>
    <row r="71" spans="1:4" ht="13.8" customHeight="1" x14ac:dyDescent="0.3">
      <c r="A71" s="1" t="s">
        <v>17</v>
      </c>
      <c r="B71" s="1" t="s">
        <v>35</v>
      </c>
      <c r="C71" s="1">
        <v>32493.788</v>
      </c>
      <c r="D71" s="4">
        <v>25.210345293364501</v>
      </c>
    </row>
    <row r="72" spans="1:4" ht="13.8" customHeight="1" x14ac:dyDescent="0.3">
      <c r="A72" s="1" t="s">
        <v>18</v>
      </c>
      <c r="B72" s="1" t="s">
        <v>35</v>
      </c>
      <c r="C72" s="1">
        <v>24219.288</v>
      </c>
      <c r="D72" s="4">
        <v>18.790564314614205</v>
      </c>
    </row>
    <row r="73" spans="1:4" ht="13.8" customHeight="1" x14ac:dyDescent="0.3">
      <c r="A73" s="1" t="s">
        <v>19</v>
      </c>
      <c r="B73" s="1" t="s">
        <v>35</v>
      </c>
      <c r="C73" s="1">
        <v>12492.135</v>
      </c>
      <c r="D73" s="4">
        <v>9.6920382690169546</v>
      </c>
    </row>
    <row r="74" spans="1:4" ht="13.8" customHeight="1" x14ac:dyDescent="0.3">
      <c r="A74" s="1" t="s">
        <v>11</v>
      </c>
      <c r="B74" s="1" t="s">
        <v>35</v>
      </c>
      <c r="C74" s="1">
        <v>4419.4579999999996</v>
      </c>
      <c r="D74" s="4">
        <v>3.4288419124763805</v>
      </c>
    </row>
    <row r="75" spans="1:4" ht="13.8" customHeight="1" x14ac:dyDescent="0.3">
      <c r="A75" s="1" t="s">
        <v>7</v>
      </c>
      <c r="B75" s="1" t="s">
        <v>35</v>
      </c>
      <c r="C75" s="1">
        <v>2369.2020000000002</v>
      </c>
      <c r="D75" s="4">
        <v>1.8381482789796548</v>
      </c>
    </row>
    <row r="76" spans="1:4" ht="13.8" customHeight="1" x14ac:dyDescent="0.3">
      <c r="A76" s="1" t="s">
        <v>15</v>
      </c>
      <c r="B76" s="1" t="s">
        <v>35</v>
      </c>
      <c r="C76" s="1">
        <v>2026.404</v>
      </c>
      <c r="D76" s="4">
        <v>1.5721880300276163</v>
      </c>
    </row>
    <row r="77" spans="1:4" ht="13.8" customHeight="1" x14ac:dyDescent="0.3">
      <c r="A77" s="1" t="s">
        <v>5</v>
      </c>
      <c r="B77" s="1" t="s">
        <v>35</v>
      </c>
      <c r="C77" s="1">
        <v>1853.9079999999999</v>
      </c>
      <c r="D77" s="4">
        <v>1.4383567967554534</v>
      </c>
    </row>
    <row r="78" spans="1:4" ht="13.8" customHeight="1" x14ac:dyDescent="0.3">
      <c r="A78" s="1" t="s">
        <v>6</v>
      </c>
      <c r="B78" s="1" t="s">
        <v>35</v>
      </c>
      <c r="C78" s="1">
        <v>1505.5809999999999</v>
      </c>
      <c r="D78" s="4">
        <v>1.1681068663687044</v>
      </c>
    </row>
    <row r="79" spans="1:4" ht="13.8" customHeight="1" x14ac:dyDescent="0.3">
      <c r="A79" s="1" t="s">
        <v>34</v>
      </c>
      <c r="B79" s="1" t="s">
        <v>35</v>
      </c>
      <c r="C79" s="1">
        <v>1455.16</v>
      </c>
      <c r="D79" s="4">
        <v>1.1289876716464171</v>
      </c>
    </row>
    <row r="80" spans="1:4" ht="13.8" customHeight="1" x14ac:dyDescent="0.3">
      <c r="A80" s="1" t="s">
        <v>9</v>
      </c>
      <c r="B80" s="1" t="s">
        <v>35</v>
      </c>
      <c r="C80" s="1">
        <v>1012.922</v>
      </c>
      <c r="D80" s="4">
        <v>0.78587677667021627</v>
      </c>
    </row>
    <row r="81" spans="1:4" ht="13.8" customHeight="1" x14ac:dyDescent="0.3">
      <c r="A81" s="1" t="s">
        <v>4</v>
      </c>
      <c r="B81" s="1" t="s">
        <v>35</v>
      </c>
      <c r="C81" s="1">
        <v>967.45799999999997</v>
      </c>
      <c r="D81" s="4">
        <v>0.75060347648073011</v>
      </c>
    </row>
    <row r="82" spans="1:4" ht="13.8" customHeight="1" x14ac:dyDescent="0.3">
      <c r="A82" s="1" t="s">
        <v>12</v>
      </c>
      <c r="B82" s="1" t="s">
        <v>35</v>
      </c>
      <c r="C82" s="1">
        <v>866.07100000000003</v>
      </c>
      <c r="D82" s="4">
        <v>0.67194224811737813</v>
      </c>
    </row>
    <row r="83" spans="1:4" ht="13.8" customHeight="1" x14ac:dyDescent="0.3">
      <c r="A83" s="1" t="s">
        <v>22</v>
      </c>
      <c r="B83" s="1" t="s">
        <v>35</v>
      </c>
      <c r="C83" s="1">
        <v>695.36</v>
      </c>
      <c r="D83" s="4">
        <v>0.53949590928561297</v>
      </c>
    </row>
    <row r="84" spans="1:4" ht="13.8" customHeight="1" x14ac:dyDescent="0.3">
      <c r="A84" s="1" t="s">
        <v>33</v>
      </c>
      <c r="B84" s="1" t="s">
        <v>35</v>
      </c>
      <c r="C84" s="1">
        <v>236.59899999999999</v>
      </c>
      <c r="D84" s="4">
        <v>0.18356562448381661</v>
      </c>
    </row>
    <row r="85" spans="1:4" ht="13.8" customHeight="1" x14ac:dyDescent="0.3">
      <c r="A85" s="1" t="s">
        <v>13</v>
      </c>
      <c r="B85" s="1" t="s">
        <v>35</v>
      </c>
      <c r="C85" s="1">
        <v>188.333</v>
      </c>
      <c r="D85" s="4">
        <v>0.14611838915595854</v>
      </c>
    </row>
    <row r="86" spans="1:4" ht="13.8" customHeight="1" x14ac:dyDescent="0.3">
      <c r="A86" s="1" t="s">
        <v>14</v>
      </c>
      <c r="B86" s="1" t="s">
        <v>35</v>
      </c>
      <c r="C86" s="1">
        <v>180.45699999999999</v>
      </c>
      <c r="D86" s="4">
        <v>0.14000778489121296</v>
      </c>
    </row>
    <row r="87" spans="1:4" ht="13.8" customHeight="1" x14ac:dyDescent="0.3">
      <c r="A87" s="1" t="s">
        <v>28</v>
      </c>
      <c r="B87" s="1" t="s">
        <v>35</v>
      </c>
      <c r="C87" s="1">
        <v>27.795999999999999</v>
      </c>
      <c r="D87" s="4">
        <v>2.1565560708845629E-2</v>
      </c>
    </row>
    <row r="88" spans="1:4" ht="13.8" customHeight="1" x14ac:dyDescent="0.3">
      <c r="A88" s="1" t="s">
        <v>27</v>
      </c>
      <c r="B88" s="1" t="s">
        <v>35</v>
      </c>
      <c r="C88" s="1">
        <v>24.093</v>
      </c>
      <c r="D88" s="4">
        <v>1.86925836148445E-2</v>
      </c>
    </row>
    <row r="89" spans="1:4" ht="13.8" customHeight="1" x14ac:dyDescent="0.3">
      <c r="A89" s="1" t="s">
        <v>38</v>
      </c>
      <c r="B89" s="1" t="s">
        <v>35</v>
      </c>
      <c r="C89" s="1">
        <v>5.4260000000000002</v>
      </c>
      <c r="D89" s="4">
        <v>4.2097687583176136E-3</v>
      </c>
    </row>
    <row r="90" spans="1:4" ht="13.8" customHeight="1" x14ac:dyDescent="0.3">
      <c r="A90" s="1" t="s">
        <v>37</v>
      </c>
      <c r="B90" s="1" t="s">
        <v>35</v>
      </c>
      <c r="C90" s="1">
        <v>0.112</v>
      </c>
      <c r="D90" s="4">
        <v>8.689533743670709E-5</v>
      </c>
    </row>
    <row r="91" spans="1:4" ht="13.8" customHeight="1" x14ac:dyDescent="0.3">
      <c r="A91" s="1" t="s">
        <v>36</v>
      </c>
      <c r="B91" s="1" t="s">
        <v>35</v>
      </c>
      <c r="C91" s="1">
        <v>9.1999999999999998E-2</v>
      </c>
      <c r="D91" s="4">
        <v>7.1378312894437973E-5</v>
      </c>
    </row>
    <row r="92" spans="1:4" ht="13.8" customHeight="1" x14ac:dyDescent="0.3">
      <c r="A92" s="1" t="s">
        <v>18</v>
      </c>
      <c r="B92" s="1" t="s">
        <v>40</v>
      </c>
      <c r="C92" s="1">
        <v>63556.855000000003</v>
      </c>
      <c r="D92" s="4">
        <v>32.262880624191133</v>
      </c>
    </row>
    <row r="93" spans="1:4" ht="13.8" customHeight="1" x14ac:dyDescent="0.3">
      <c r="A93" s="1" t="s">
        <v>17</v>
      </c>
      <c r="B93" s="1" t="s">
        <v>40</v>
      </c>
      <c r="C93" s="1">
        <v>40883.942999999999</v>
      </c>
      <c r="D93" s="4">
        <v>20.753603564166834</v>
      </c>
    </row>
    <row r="94" spans="1:4" ht="13.8" customHeight="1" x14ac:dyDescent="0.3">
      <c r="A94" s="1" t="s">
        <v>42</v>
      </c>
      <c r="B94" s="1" t="s">
        <v>40</v>
      </c>
      <c r="C94" s="1">
        <v>29443.587</v>
      </c>
      <c r="D94" s="4">
        <v>14.946223071122475</v>
      </c>
    </row>
    <row r="95" spans="1:4" ht="13.8" customHeight="1" x14ac:dyDescent="0.3">
      <c r="A95" s="1" t="s">
        <v>5</v>
      </c>
      <c r="B95" s="1" t="s">
        <v>40</v>
      </c>
      <c r="C95" s="1">
        <v>18159.050999999999</v>
      </c>
      <c r="D95" s="4">
        <v>9.2179402939556798</v>
      </c>
    </row>
    <row r="96" spans="1:4" ht="13.8" customHeight="1" x14ac:dyDescent="0.3">
      <c r="A96" s="1" t="s">
        <v>19</v>
      </c>
      <c r="B96" s="1" t="s">
        <v>40</v>
      </c>
      <c r="C96" s="1">
        <v>15262.342000000001</v>
      </c>
      <c r="D96" s="4">
        <v>7.74750603993194</v>
      </c>
    </row>
    <row r="97" spans="1:4" ht="13.8" customHeight="1" x14ac:dyDescent="0.3">
      <c r="A97" s="1" t="s">
        <v>34</v>
      </c>
      <c r="B97" s="1" t="s">
        <v>40</v>
      </c>
      <c r="C97" s="1">
        <v>13560.557000000001</v>
      </c>
      <c r="D97" s="4">
        <v>6.8836419248331184</v>
      </c>
    </row>
    <row r="98" spans="1:4" ht="13.8" customHeight="1" x14ac:dyDescent="0.3">
      <c r="A98" s="1" t="s">
        <v>11</v>
      </c>
      <c r="B98" s="1" t="s">
        <v>40</v>
      </c>
      <c r="C98" s="1">
        <v>5149.6289999999999</v>
      </c>
      <c r="D98" s="4">
        <v>2.6140668175899004</v>
      </c>
    </row>
    <row r="99" spans="1:4" ht="13.8" customHeight="1" x14ac:dyDescent="0.3">
      <c r="A99" s="1" t="s">
        <v>28</v>
      </c>
      <c r="B99" s="1" t="s">
        <v>40</v>
      </c>
      <c r="C99" s="1">
        <v>2589.6880000000001</v>
      </c>
      <c r="D99" s="4">
        <v>1.3145835299418178</v>
      </c>
    </row>
    <row r="100" spans="1:4" ht="13.8" customHeight="1" x14ac:dyDescent="0.3">
      <c r="A100" s="1" t="s">
        <v>27</v>
      </c>
      <c r="B100" s="1" t="s">
        <v>40</v>
      </c>
      <c r="C100" s="1">
        <v>2315.8310000000001</v>
      </c>
      <c r="D100" s="4">
        <v>1.1755675937521006</v>
      </c>
    </row>
    <row r="101" spans="1:4" ht="13.8" customHeight="1" x14ac:dyDescent="0.3">
      <c r="A101" s="1" t="s">
        <v>41</v>
      </c>
      <c r="B101" s="1" t="s">
        <v>40</v>
      </c>
      <c r="C101" s="1">
        <v>1398.711</v>
      </c>
      <c r="D101" s="4">
        <v>0.71001697646529238</v>
      </c>
    </row>
    <row r="102" spans="1:4" ht="13.8" customHeight="1" x14ac:dyDescent="0.3">
      <c r="A102" s="1" t="s">
        <v>9</v>
      </c>
      <c r="B102" s="1" t="s">
        <v>40</v>
      </c>
      <c r="C102" s="1">
        <v>1375.3</v>
      </c>
      <c r="D102" s="4">
        <v>0.69813302943404076</v>
      </c>
    </row>
    <row r="103" spans="1:4" ht="13.8" customHeight="1" x14ac:dyDescent="0.3">
      <c r="A103" s="1" t="s">
        <v>21</v>
      </c>
      <c r="B103" s="1" t="s">
        <v>40</v>
      </c>
      <c r="C103" s="4">
        <v>1173.232</v>
      </c>
      <c r="D103" s="4">
        <v>0.5955587947276656</v>
      </c>
    </row>
    <row r="104" spans="1:4" ht="13.8" customHeight="1" x14ac:dyDescent="0.3">
      <c r="A104" s="1" t="s">
        <v>6</v>
      </c>
      <c r="B104" s="1" t="s">
        <v>40</v>
      </c>
      <c r="C104" s="4">
        <v>726.49599999999998</v>
      </c>
      <c r="D104" s="4">
        <v>0.36878561284935135</v>
      </c>
    </row>
    <row r="105" spans="1:4" ht="13.8" customHeight="1" x14ac:dyDescent="0.3">
      <c r="A105" s="1" t="s">
        <v>2</v>
      </c>
      <c r="B105" s="1" t="s">
        <v>40</v>
      </c>
      <c r="C105" s="4">
        <v>594.00199999999995</v>
      </c>
      <c r="D105" s="4">
        <v>0.30152869610258054</v>
      </c>
    </row>
    <row r="106" spans="1:4" ht="13.8" customHeight="1" x14ac:dyDescent="0.3">
      <c r="A106" s="1" t="s">
        <v>22</v>
      </c>
      <c r="B106" s="1" t="s">
        <v>40</v>
      </c>
      <c r="C106" s="4">
        <v>551.86500000000001</v>
      </c>
      <c r="D106" s="4">
        <v>0.28013901278893111</v>
      </c>
    </row>
    <row r="107" spans="1:4" ht="13.8" customHeight="1" x14ac:dyDescent="0.3">
      <c r="A107" s="1" t="s">
        <v>7</v>
      </c>
      <c r="B107" s="1" t="s">
        <v>40</v>
      </c>
      <c r="C107" s="4">
        <v>144.268</v>
      </c>
      <c r="D107" s="4">
        <v>7.3233662393943286E-2</v>
      </c>
    </row>
    <row r="108" spans="1:4" ht="13.8" customHeight="1" x14ac:dyDescent="0.3">
      <c r="A108" s="1" t="s">
        <v>12</v>
      </c>
      <c r="B108" s="1" t="s">
        <v>40</v>
      </c>
      <c r="C108" s="4">
        <v>67.838999999999999</v>
      </c>
      <c r="D108" s="4">
        <v>3.4436593167873113E-2</v>
      </c>
    </row>
    <row r="109" spans="1:4" ht="13.8" customHeight="1" x14ac:dyDescent="0.3">
      <c r="A109" s="1" t="s">
        <v>36</v>
      </c>
      <c r="B109" s="1" t="s">
        <v>40</v>
      </c>
      <c r="C109" s="4">
        <v>15.16</v>
      </c>
      <c r="D109" s="4">
        <v>7.6955549525340346E-3</v>
      </c>
    </row>
    <row r="110" spans="1:4" ht="13.8" customHeight="1" x14ac:dyDescent="0.3">
      <c r="A110" s="1" t="s">
        <v>20</v>
      </c>
      <c r="B110" s="1" t="s">
        <v>40</v>
      </c>
      <c r="C110" s="4">
        <v>15.047000000000001</v>
      </c>
      <c r="D110" s="4">
        <v>7.6381936260408734E-3</v>
      </c>
    </row>
    <row r="111" spans="1:4" ht="13.8" customHeight="1" x14ac:dyDescent="0.3">
      <c r="A111" s="1" t="s">
        <v>15</v>
      </c>
      <c r="B111" s="1" t="s">
        <v>40</v>
      </c>
      <c r="C111" s="4">
        <v>13.347</v>
      </c>
      <c r="D111" s="4">
        <v>6.7752356168517E-3</v>
      </c>
    </row>
    <row r="112" spans="1:4" ht="13.8" customHeight="1" x14ac:dyDescent="0.3">
      <c r="A112" s="1" t="s">
        <v>4</v>
      </c>
      <c r="B112" s="1" t="s">
        <v>40</v>
      </c>
      <c r="C112" s="1">
        <v>8.8999999999999996E-2</v>
      </c>
      <c r="D112" s="4">
        <v>4.5178389892844925E-5</v>
      </c>
    </row>
    <row r="113" spans="1:4" ht="13.8" customHeight="1" x14ac:dyDescent="0.3">
      <c r="A113" s="6" t="s">
        <v>18</v>
      </c>
      <c r="B113" s="6" t="s">
        <v>51</v>
      </c>
      <c r="C113" s="6">
        <v>33584.441999999995</v>
      </c>
      <c r="D113" s="4">
        <v>29.219628758122358</v>
      </c>
    </row>
    <row r="114" spans="1:4" ht="13.8" customHeight="1" x14ac:dyDescent="0.3">
      <c r="A114" s="6" t="s">
        <v>21</v>
      </c>
      <c r="B114" s="6" t="s">
        <v>51</v>
      </c>
      <c r="C114" s="6">
        <v>17825.234</v>
      </c>
      <c r="D114" s="4">
        <v>15.508571498870236</v>
      </c>
    </row>
    <row r="115" spans="1:4" ht="13.8" customHeight="1" x14ac:dyDescent="0.3">
      <c r="A115" s="6" t="s">
        <v>17</v>
      </c>
      <c r="B115" s="6" t="s">
        <v>51</v>
      </c>
      <c r="C115" s="6">
        <v>16287.918999999991</v>
      </c>
      <c r="D115" s="4">
        <v>14.171054157230522</v>
      </c>
    </row>
    <row r="116" spans="1:4" ht="13.8" customHeight="1" x14ac:dyDescent="0.3">
      <c r="A116" s="6" t="s">
        <v>13</v>
      </c>
      <c r="B116" s="6" t="s">
        <v>51</v>
      </c>
      <c r="C116" s="6">
        <v>8165.0039999999999</v>
      </c>
      <c r="D116" s="4">
        <v>7.1038365231312799</v>
      </c>
    </row>
    <row r="117" spans="1:4" ht="13.8" customHeight="1" x14ac:dyDescent="0.3">
      <c r="A117" s="6" t="s">
        <v>9</v>
      </c>
      <c r="B117" s="6" t="s">
        <v>51</v>
      </c>
      <c r="C117" s="6">
        <v>7216.7649999999994</v>
      </c>
      <c r="D117" s="4">
        <v>6.2788357220468605</v>
      </c>
    </row>
    <row r="118" spans="1:4" ht="13.8" customHeight="1" x14ac:dyDescent="0.3">
      <c r="A118" s="6" t="s">
        <v>19</v>
      </c>
      <c r="B118" s="6" t="s">
        <v>51</v>
      </c>
      <c r="C118" s="6">
        <v>5773.9290000000001</v>
      </c>
      <c r="D118" s="4">
        <v>5.0235183855595009</v>
      </c>
    </row>
    <row r="119" spans="1:4" ht="13.8" customHeight="1" x14ac:dyDescent="0.3">
      <c r="A119" s="6" t="s">
        <v>16</v>
      </c>
      <c r="B119" s="6" t="s">
        <v>51</v>
      </c>
      <c r="C119" s="6">
        <v>5034.6840000000002</v>
      </c>
      <c r="D119" s="4">
        <v>4.3803496093357319</v>
      </c>
    </row>
    <row r="120" spans="1:4" ht="13.8" customHeight="1" x14ac:dyDescent="0.3">
      <c r="A120" s="6" t="s">
        <v>5</v>
      </c>
      <c r="B120" s="6" t="s">
        <v>51</v>
      </c>
      <c r="C120" s="6">
        <v>3943.3339999999998</v>
      </c>
      <c r="D120" s="4">
        <v>3.430837277251225</v>
      </c>
    </row>
    <row r="121" spans="1:4" ht="13.8" customHeight="1" x14ac:dyDescent="0.3">
      <c r="A121" s="6" t="s">
        <v>4</v>
      </c>
      <c r="B121" s="6" t="s">
        <v>51</v>
      </c>
      <c r="C121" s="6">
        <v>3221.259</v>
      </c>
      <c r="D121" s="4">
        <v>2.802606996232377</v>
      </c>
    </row>
    <row r="122" spans="1:4" ht="13.8" customHeight="1" x14ac:dyDescent="0.3">
      <c r="A122" s="6" t="s">
        <v>14</v>
      </c>
      <c r="B122" s="6" t="s">
        <v>51</v>
      </c>
      <c r="C122" s="6">
        <v>2788.7649999999999</v>
      </c>
      <c r="D122" s="4">
        <v>2.4263222236547834</v>
      </c>
    </row>
    <row r="123" spans="1:4" ht="13.8" customHeight="1" x14ac:dyDescent="0.3">
      <c r="A123" s="6" t="s">
        <v>23</v>
      </c>
      <c r="B123" s="6" t="s">
        <v>51</v>
      </c>
      <c r="C123" s="6">
        <v>2165.1390000000001</v>
      </c>
      <c r="D123" s="4">
        <v>1.8837459854099199</v>
      </c>
    </row>
    <row r="124" spans="1:4" ht="13.8" customHeight="1" x14ac:dyDescent="0.3">
      <c r="A124" s="6" t="s">
        <v>31</v>
      </c>
      <c r="B124" s="6" t="s">
        <v>51</v>
      </c>
      <c r="C124" s="6">
        <v>1249.95</v>
      </c>
      <c r="D124" s="4">
        <v>1.0874998300169778</v>
      </c>
    </row>
    <row r="125" spans="1:4" ht="13.8" customHeight="1" x14ac:dyDescent="0.3">
      <c r="A125" s="6" t="s">
        <v>25</v>
      </c>
      <c r="B125" s="6" t="s">
        <v>51</v>
      </c>
      <c r="C125" s="6">
        <v>1193.2040000000002</v>
      </c>
      <c r="D125" s="4">
        <v>1.0381288428941782</v>
      </c>
    </row>
    <row r="126" spans="1:4" ht="13.8" customHeight="1" x14ac:dyDescent="0.3">
      <c r="A126" s="6" t="s">
        <v>22</v>
      </c>
      <c r="B126" s="6" t="s">
        <v>51</v>
      </c>
      <c r="C126" s="6">
        <v>1192.703</v>
      </c>
      <c r="D126" s="4">
        <v>1.0376929555268124</v>
      </c>
    </row>
    <row r="127" spans="1:4" ht="13.8" customHeight="1" x14ac:dyDescent="0.3">
      <c r="A127" s="6" t="s">
        <v>15</v>
      </c>
      <c r="B127" s="6" t="s">
        <v>51</v>
      </c>
      <c r="C127" s="6">
        <v>1153.752</v>
      </c>
      <c r="D127" s="4">
        <v>1.0038042352748093</v>
      </c>
    </row>
    <row r="128" spans="1:4" ht="13.8" customHeight="1" x14ac:dyDescent="0.3">
      <c r="A128" s="6" t="s">
        <v>6</v>
      </c>
      <c r="B128" s="6" t="s">
        <v>51</v>
      </c>
      <c r="C128" s="6">
        <v>1021.484</v>
      </c>
      <c r="D128" s="4">
        <v>0.88872649015165595</v>
      </c>
    </row>
    <row r="129" spans="1:4" ht="13.8" customHeight="1" x14ac:dyDescent="0.3">
      <c r="A129" s="3" t="s">
        <v>7</v>
      </c>
      <c r="B129" s="3" t="s">
        <v>51</v>
      </c>
      <c r="C129" s="3">
        <v>827.53</v>
      </c>
      <c r="D129" s="4">
        <v>0.71997978665862605</v>
      </c>
    </row>
    <row r="130" spans="1:4" ht="13.8" customHeight="1" x14ac:dyDescent="0.3">
      <c r="A130" s="3" t="s">
        <v>11</v>
      </c>
      <c r="B130" s="3" t="s">
        <v>51</v>
      </c>
      <c r="C130" s="3">
        <v>490.11399999999998</v>
      </c>
      <c r="D130" s="4">
        <v>0.42641616999795273</v>
      </c>
    </row>
    <row r="131" spans="1:4" ht="13.8" customHeight="1" x14ac:dyDescent="0.3">
      <c r="A131" s="3" t="s">
        <v>12</v>
      </c>
      <c r="B131" s="3" t="s">
        <v>51</v>
      </c>
      <c r="C131" s="3">
        <v>398.87599999999998</v>
      </c>
      <c r="D131" s="4">
        <v>0.34703594719616943</v>
      </c>
    </row>
    <row r="132" spans="1:4" ht="13.8" customHeight="1" x14ac:dyDescent="0.3">
      <c r="A132" s="3" t="s">
        <v>27</v>
      </c>
      <c r="B132" s="3" t="s">
        <v>51</v>
      </c>
      <c r="C132" s="3">
        <v>288.55</v>
      </c>
      <c r="D132" s="4">
        <v>0.25104850270122719</v>
      </c>
    </row>
    <row r="133" spans="1:4" ht="13.8" customHeight="1" x14ac:dyDescent="0.3">
      <c r="A133" s="3" t="s">
        <v>28</v>
      </c>
      <c r="B133" s="3" t="s">
        <v>51</v>
      </c>
      <c r="C133" s="3">
        <v>245.19200000000001</v>
      </c>
      <c r="D133" s="4">
        <v>0.21332553967880538</v>
      </c>
    </row>
    <row r="134" spans="1:4" ht="13.8" customHeight="1" x14ac:dyDescent="0.3">
      <c r="A134" s="3" t="s">
        <v>30</v>
      </c>
      <c r="B134" s="3" t="s">
        <v>51</v>
      </c>
      <c r="C134" s="3">
        <v>221.63</v>
      </c>
      <c r="D134" s="4">
        <v>0.19282578289264593</v>
      </c>
    </row>
    <row r="135" spans="1:4" ht="13.8" customHeight="1" x14ac:dyDescent="0.3">
      <c r="A135" s="3" t="s">
        <v>20</v>
      </c>
      <c r="B135" s="3" t="s">
        <v>51</v>
      </c>
      <c r="C135" s="3">
        <v>173.03199999999998</v>
      </c>
      <c r="D135" s="4">
        <v>0.15054383822352707</v>
      </c>
    </row>
    <row r="136" spans="1:4" ht="13.8" customHeight="1" x14ac:dyDescent="0.3">
      <c r="A136" s="3" t="s">
        <v>26</v>
      </c>
      <c r="B136" s="3" t="s">
        <v>51</v>
      </c>
      <c r="C136" s="3">
        <v>133.95599999999999</v>
      </c>
      <c r="D136" s="4">
        <v>0.11654636363834893</v>
      </c>
    </row>
    <row r="137" spans="1:4" ht="13.8" customHeight="1" x14ac:dyDescent="0.3">
      <c r="A137" s="3" t="s">
        <v>37</v>
      </c>
      <c r="B137" s="3" t="s">
        <v>51</v>
      </c>
      <c r="C137" s="3">
        <v>109.136</v>
      </c>
      <c r="D137" s="4">
        <v>9.4952103243116023E-2</v>
      </c>
    </row>
    <row r="138" spans="1:4" ht="13.8" customHeight="1" x14ac:dyDescent="0.3">
      <c r="A138" s="3" t="s">
        <v>50</v>
      </c>
      <c r="B138" s="3" t="s">
        <v>51</v>
      </c>
      <c r="C138" s="3">
        <v>99.313999999999993</v>
      </c>
      <c r="D138" s="4">
        <v>8.6406622759555282E-2</v>
      </c>
    </row>
    <row r="139" spans="1:4" ht="13.8" customHeight="1" x14ac:dyDescent="0.3">
      <c r="A139" s="3" t="s">
        <v>2</v>
      </c>
      <c r="B139" s="3" t="s">
        <v>51</v>
      </c>
      <c r="C139" s="3">
        <v>41.491999999999997</v>
      </c>
      <c r="D139" s="4">
        <v>3.6099478336785021E-2</v>
      </c>
    </row>
    <row r="140" spans="1:4" ht="13.8" customHeight="1" x14ac:dyDescent="0.3">
      <c r="A140" s="3" t="s">
        <v>49</v>
      </c>
      <c r="B140" s="3" t="s">
        <v>51</v>
      </c>
      <c r="C140" s="3">
        <v>39.834000000000003</v>
      </c>
      <c r="D140" s="4">
        <v>3.4656960861551497E-2</v>
      </c>
    </row>
    <row r="141" spans="1:4" ht="13.8" customHeight="1" x14ac:dyDescent="0.3">
      <c r="A141" s="3" t="s">
        <v>46</v>
      </c>
      <c r="B141" s="3" t="s">
        <v>51</v>
      </c>
      <c r="C141" s="3">
        <v>33.154000000000003</v>
      </c>
      <c r="D141" s="4">
        <v>2.8845129296678176E-2</v>
      </c>
    </row>
    <row r="142" spans="1:4" ht="13.8" customHeight="1" x14ac:dyDescent="0.3">
      <c r="A142" s="3" t="s">
        <v>38</v>
      </c>
      <c r="B142" s="3" t="s">
        <v>51</v>
      </c>
      <c r="C142" s="3">
        <v>10.95</v>
      </c>
      <c r="D142" s="4">
        <v>9.5268795861321691E-3</v>
      </c>
    </row>
    <row r="143" spans="1:4" ht="13.8" customHeight="1" x14ac:dyDescent="0.3">
      <c r="A143" s="3" t="s">
        <v>47</v>
      </c>
      <c r="B143" s="3" t="s">
        <v>51</v>
      </c>
      <c r="C143" s="3">
        <v>3.875</v>
      </c>
      <c r="D143" s="4">
        <v>3.3713843284257678E-3</v>
      </c>
    </row>
    <row r="144" spans="1:4" ht="13.8" customHeight="1" x14ac:dyDescent="0.3">
      <c r="A144" s="3" t="s">
        <v>48</v>
      </c>
      <c r="B144" s="3" t="s">
        <v>51</v>
      </c>
      <c r="C144" s="3">
        <v>2.5819999999999999</v>
      </c>
      <c r="D144" s="4">
        <v>2.2464295060633118E-3</v>
      </c>
    </row>
    <row r="145" spans="1:4" ht="13.8" customHeight="1" x14ac:dyDescent="0.3">
      <c r="A145" s="3" t="s">
        <v>29</v>
      </c>
      <c r="B145" s="3" t="s">
        <v>51</v>
      </c>
      <c r="C145" s="3">
        <v>1.165</v>
      </c>
      <c r="D145" s="4">
        <v>1.0135903851912309E-3</v>
      </c>
    </row>
    <row r="146" spans="1:4" ht="13.8" customHeight="1" x14ac:dyDescent="0.3">
      <c r="A146" s="4" t="s">
        <v>2</v>
      </c>
      <c r="B146" s="4" t="s">
        <v>43</v>
      </c>
      <c r="C146" s="4">
        <v>71827.092000000004</v>
      </c>
      <c r="D146" s="4">
        <v>58.187521501212302</v>
      </c>
    </row>
    <row r="147" spans="1:4" ht="13.8" customHeight="1" x14ac:dyDescent="0.3">
      <c r="A147" s="4" t="s">
        <v>6</v>
      </c>
      <c r="B147" s="4" t="s">
        <v>43</v>
      </c>
      <c r="C147" s="4">
        <v>33091.154000000002</v>
      </c>
      <c r="D147" s="4">
        <v>26.807325498781537</v>
      </c>
    </row>
    <row r="148" spans="1:4" ht="13.8" customHeight="1" x14ac:dyDescent="0.3">
      <c r="A148" s="4" t="s">
        <v>4</v>
      </c>
      <c r="B148" s="4" t="s">
        <v>43</v>
      </c>
      <c r="C148" s="4">
        <v>10271.915000000001</v>
      </c>
      <c r="D148" s="4">
        <v>8.3213347259154684</v>
      </c>
    </row>
    <row r="149" spans="1:4" ht="13.8" customHeight="1" x14ac:dyDescent="0.3">
      <c r="A149" s="4" t="s">
        <v>7</v>
      </c>
      <c r="B149" s="4" t="s">
        <v>43</v>
      </c>
      <c r="C149" s="4">
        <v>4498.5730000000003</v>
      </c>
      <c r="D149" s="4">
        <v>3.644318680787928</v>
      </c>
    </row>
    <row r="150" spans="1:4" ht="13.8" customHeight="1" x14ac:dyDescent="0.3">
      <c r="A150" s="4" t="s">
        <v>5</v>
      </c>
      <c r="B150" s="4" t="s">
        <v>43</v>
      </c>
      <c r="C150" s="4">
        <v>2685.3180000000002</v>
      </c>
      <c r="D150" s="4">
        <v>2.1753908520004179</v>
      </c>
    </row>
    <row r="151" spans="1:4" ht="13.8" customHeight="1" x14ac:dyDescent="0.3">
      <c r="A151" s="4" t="s">
        <v>13</v>
      </c>
      <c r="B151" s="4" t="s">
        <v>43</v>
      </c>
      <c r="C151" s="4">
        <v>976.31</v>
      </c>
      <c r="D151" s="4">
        <v>0.79091409014371039</v>
      </c>
    </row>
    <row r="152" spans="1:4" ht="13.8" customHeight="1" x14ac:dyDescent="0.3">
      <c r="A152" s="4" t="s">
        <v>9</v>
      </c>
      <c r="B152" s="4" t="s">
        <v>43</v>
      </c>
      <c r="C152" s="4">
        <v>60.155999999999999</v>
      </c>
      <c r="D152" s="4">
        <v>4.8732705807259004E-2</v>
      </c>
    </row>
    <row r="153" spans="1:4" ht="13.8" customHeight="1" x14ac:dyDescent="0.3">
      <c r="A153" s="4" t="s">
        <v>22</v>
      </c>
      <c r="B153" s="4" t="s">
        <v>43</v>
      </c>
      <c r="C153" s="4">
        <v>29.994</v>
      </c>
      <c r="D153" s="4">
        <v>2.4298304042538181E-2</v>
      </c>
    </row>
    <row r="154" spans="1:4" ht="13.8" customHeight="1" x14ac:dyDescent="0.3">
      <c r="A154" s="4" t="s">
        <v>8</v>
      </c>
      <c r="B154" s="4" t="s">
        <v>43</v>
      </c>
      <c r="C154" s="4">
        <v>0.20200000000000001</v>
      </c>
      <c r="D154" s="4">
        <v>1.6364130881485337E-4</v>
      </c>
    </row>
    <row r="155" spans="1:4" ht="13.8" customHeight="1" x14ac:dyDescent="0.3">
      <c r="A155" s="4" t="s">
        <v>2</v>
      </c>
      <c r="B155" s="4" t="s">
        <v>3</v>
      </c>
      <c r="C155" s="4">
        <v>64784.53</v>
      </c>
      <c r="D155">
        <v>96.932827674012117</v>
      </c>
    </row>
    <row r="156" spans="1:4" ht="13.8" customHeight="1" x14ac:dyDescent="0.3">
      <c r="A156" s="4" t="s">
        <v>7</v>
      </c>
      <c r="B156" s="4" t="s">
        <v>3</v>
      </c>
      <c r="C156" s="4">
        <v>1072.17</v>
      </c>
      <c r="D156">
        <v>1.6042173933691513</v>
      </c>
    </row>
    <row r="157" spans="1:4" ht="13.8" customHeight="1" x14ac:dyDescent="0.3">
      <c r="A157" s="4" t="s">
        <v>6</v>
      </c>
      <c r="B157" s="4" t="s">
        <v>3</v>
      </c>
      <c r="C157" s="4">
        <v>632.53</v>
      </c>
      <c r="D157">
        <v>0.94641300150889229</v>
      </c>
    </row>
    <row r="158" spans="1:4" ht="13.8" customHeight="1" x14ac:dyDescent="0.3">
      <c r="A158" s="4" t="s">
        <v>4</v>
      </c>
      <c r="B158" s="4" t="s">
        <v>3</v>
      </c>
      <c r="C158" s="4">
        <v>320.166</v>
      </c>
      <c r="D158">
        <v>0.47904331026369662</v>
      </c>
    </row>
    <row r="159" spans="1:4" ht="13.8" customHeight="1" x14ac:dyDescent="0.3">
      <c r="A159" s="4" t="s">
        <v>9</v>
      </c>
      <c r="B159" s="4" t="s">
        <v>3</v>
      </c>
      <c r="C159" s="4">
        <v>23.32</v>
      </c>
      <c r="D159">
        <v>3.4892180916616396E-2</v>
      </c>
    </row>
    <row r="160" spans="1:4" ht="13.8" customHeight="1" x14ac:dyDescent="0.3">
      <c r="A160" s="4" t="s">
        <v>5</v>
      </c>
      <c r="B160" s="4" t="s">
        <v>3</v>
      </c>
      <c r="C160" s="4">
        <v>1.64</v>
      </c>
      <c r="D160">
        <v>2.4538240438786831E-3</v>
      </c>
    </row>
    <row r="161" spans="1:4" ht="13.8" customHeight="1" x14ac:dyDescent="0.3">
      <c r="A161" s="4" t="s">
        <v>8</v>
      </c>
      <c r="B161" s="4" t="s">
        <v>3</v>
      </c>
      <c r="C161" s="4">
        <v>0.10199999999999999</v>
      </c>
      <c r="D161">
        <v>1.5261588565586932E-4</v>
      </c>
    </row>
  </sheetData>
  <sortState xmlns:xlrd2="http://schemas.microsoft.com/office/spreadsheetml/2017/richdata2" ref="A2:D161">
    <sortCondition ref="B2:B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783C-C3C1-47D0-89D8-DD450896E624}">
  <dimension ref="A1:D67"/>
  <sheetViews>
    <sheetView topLeftCell="A19" workbookViewId="0">
      <selection activeCell="A40" sqref="A40"/>
    </sheetView>
  </sheetViews>
  <sheetFormatPr defaultRowHeight="14.4" x14ac:dyDescent="0.3"/>
  <cols>
    <col min="1" max="1" width="41.5546875" bestFit="1" customWidth="1"/>
    <col min="2" max="2" width="23" bestFit="1" customWidth="1"/>
    <col min="3" max="3" width="13.109375" bestFit="1" customWidth="1"/>
    <col min="4" max="4" width="11.5546875" bestFit="1" customWidth="1"/>
  </cols>
  <sheetData>
    <row r="1" spans="1:4" x14ac:dyDescent="0.3">
      <c r="A1" s="1" t="s">
        <v>0</v>
      </c>
      <c r="B1" s="1" t="s">
        <v>1</v>
      </c>
      <c r="C1" s="4" t="s">
        <v>85</v>
      </c>
      <c r="D1" s="4" t="s">
        <v>86</v>
      </c>
    </row>
    <row r="2" spans="1:4" x14ac:dyDescent="0.3">
      <c r="A2" s="1" t="s">
        <v>19</v>
      </c>
      <c r="B2" s="1" t="s">
        <v>39</v>
      </c>
      <c r="C2" s="4">
        <v>83526.822</v>
      </c>
      <c r="D2" s="4">
        <v>53.24884433243777</v>
      </c>
    </row>
    <row r="3" spans="1:4" x14ac:dyDescent="0.3">
      <c r="A3" s="1" t="s">
        <v>18</v>
      </c>
      <c r="B3" s="1" t="s">
        <v>39</v>
      </c>
      <c r="C3" s="4">
        <v>33793.953999999998</v>
      </c>
      <c r="D3" s="4">
        <v>21.543846070470185</v>
      </c>
    </row>
    <row r="4" spans="1:4" x14ac:dyDescent="0.3">
      <c r="A4" s="1" t="s">
        <v>17</v>
      </c>
      <c r="B4" s="1" t="s">
        <v>39</v>
      </c>
      <c r="C4" s="4">
        <v>26788.695</v>
      </c>
      <c r="D4" s="4">
        <v>17.077951917339249</v>
      </c>
    </row>
    <row r="5" spans="1:4" x14ac:dyDescent="0.3">
      <c r="A5" s="1" t="s">
        <v>12</v>
      </c>
      <c r="B5" s="1" t="s">
        <v>39</v>
      </c>
      <c r="C5" s="4">
        <v>2962.4029999999998</v>
      </c>
      <c r="D5" s="4">
        <v>1.8885494793151194</v>
      </c>
    </row>
    <row r="6" spans="1:4" x14ac:dyDescent="0.3">
      <c r="A6" s="1" t="s">
        <v>14</v>
      </c>
      <c r="B6" s="1" t="s">
        <v>39</v>
      </c>
      <c r="C6" s="4">
        <v>1673.5409999999999</v>
      </c>
      <c r="D6" s="4">
        <v>1.0668923114655582</v>
      </c>
    </row>
    <row r="7" spans="1:4" x14ac:dyDescent="0.3">
      <c r="A7" s="1" t="s">
        <v>33</v>
      </c>
      <c r="B7" s="1" t="s">
        <v>39</v>
      </c>
      <c r="C7" s="4">
        <v>1619.848</v>
      </c>
      <c r="D7" s="4">
        <v>1.0326627055703217</v>
      </c>
    </row>
    <row r="8" spans="1:4" x14ac:dyDescent="0.3">
      <c r="A8" s="1" t="s">
        <v>17</v>
      </c>
      <c r="B8" s="1" t="s">
        <v>32</v>
      </c>
      <c r="C8" s="4">
        <v>19993.378000000001</v>
      </c>
      <c r="D8" s="4">
        <v>54.357076529254954</v>
      </c>
    </row>
    <row r="9" spans="1:4" x14ac:dyDescent="0.3">
      <c r="A9" s="1" t="s">
        <v>18</v>
      </c>
      <c r="B9" s="1" t="s">
        <v>32</v>
      </c>
      <c r="C9" s="1">
        <v>9582.7870000000003</v>
      </c>
      <c r="D9" s="4">
        <v>26.053240544071617</v>
      </c>
    </row>
    <row r="10" spans="1:4" x14ac:dyDescent="0.3">
      <c r="A10" s="1" t="s">
        <v>29</v>
      </c>
      <c r="B10" s="1" t="s">
        <v>32</v>
      </c>
      <c r="C10" s="1">
        <v>3449.029</v>
      </c>
      <c r="D10" s="4">
        <v>9.3770614102639218</v>
      </c>
    </row>
    <row r="11" spans="1:4" x14ac:dyDescent="0.3">
      <c r="A11" s="1" t="s">
        <v>19</v>
      </c>
      <c r="B11" s="1" t="s">
        <v>32</v>
      </c>
      <c r="C11" s="1">
        <v>959.33900000000006</v>
      </c>
      <c r="D11" s="4">
        <v>2.6082067492796321</v>
      </c>
    </row>
    <row r="12" spans="1:4" x14ac:dyDescent="0.3">
      <c r="A12" s="1" t="s">
        <v>28</v>
      </c>
      <c r="B12" s="1" t="s">
        <v>32</v>
      </c>
      <c r="C12" s="1">
        <v>560.476</v>
      </c>
      <c r="D12" s="4">
        <v>1.5237963702187143</v>
      </c>
    </row>
    <row r="13" spans="1:4" x14ac:dyDescent="0.3">
      <c r="A13" s="1" t="s">
        <v>7</v>
      </c>
      <c r="B13" s="1" t="s">
        <v>32</v>
      </c>
      <c r="C13" s="1">
        <v>529.52700000000004</v>
      </c>
      <c r="D13" s="4">
        <v>1.4396536524896788</v>
      </c>
    </row>
    <row r="14" spans="1:4" x14ac:dyDescent="0.3">
      <c r="A14" s="1" t="s">
        <v>11</v>
      </c>
      <c r="B14" s="1" t="s">
        <v>32</v>
      </c>
      <c r="C14" s="1">
        <v>432.30599999999998</v>
      </c>
      <c r="D14" s="4">
        <v>1.1753336692807033</v>
      </c>
    </row>
    <row r="15" spans="1:4" x14ac:dyDescent="0.3">
      <c r="A15" s="1" t="s">
        <v>42</v>
      </c>
      <c r="B15" s="1" t="s">
        <v>44</v>
      </c>
      <c r="C15" s="1">
        <v>27359.913</v>
      </c>
      <c r="D15" s="4">
        <v>64.15040513595028</v>
      </c>
    </row>
    <row r="16" spans="1:4" x14ac:dyDescent="0.3">
      <c r="A16" s="1" t="s">
        <v>34</v>
      </c>
      <c r="B16" s="1" t="s">
        <v>44</v>
      </c>
      <c r="C16" s="1">
        <v>7628.6980000000003</v>
      </c>
      <c r="D16" s="4">
        <v>17.886901444453187</v>
      </c>
    </row>
    <row r="17" spans="1:4" x14ac:dyDescent="0.3">
      <c r="A17" s="1" t="s">
        <v>27</v>
      </c>
      <c r="B17" s="1" t="s">
        <v>44</v>
      </c>
      <c r="C17" s="1">
        <v>3568.8380000000002</v>
      </c>
      <c r="D17" s="4">
        <v>8.3678045162122583</v>
      </c>
    </row>
    <row r="18" spans="1:4" x14ac:dyDescent="0.3">
      <c r="A18" s="1" t="s">
        <v>17</v>
      </c>
      <c r="B18" s="1" t="s">
        <v>44</v>
      </c>
      <c r="C18" s="1">
        <v>3207.5259999999998</v>
      </c>
      <c r="D18" s="4">
        <v>7.5206413260193479</v>
      </c>
    </row>
    <row r="19" spans="1:4" x14ac:dyDescent="0.3">
      <c r="A19" s="1" t="s">
        <v>18</v>
      </c>
      <c r="B19" s="1" t="s">
        <v>10</v>
      </c>
      <c r="C19" s="1">
        <v>5363.7889999999998</v>
      </c>
      <c r="D19" s="4">
        <v>39.417600415767687</v>
      </c>
    </row>
    <row r="20" spans="1:4" x14ac:dyDescent="0.3">
      <c r="A20" s="1" t="s">
        <v>17</v>
      </c>
      <c r="B20" s="1" t="s">
        <v>10</v>
      </c>
      <c r="C20" s="1">
        <v>5045.4759999999997</v>
      </c>
      <c r="D20" s="4">
        <v>37.078370695667907</v>
      </c>
    </row>
    <row r="21" spans="1:4" x14ac:dyDescent="0.3">
      <c r="A21" s="1" t="s">
        <v>7</v>
      </c>
      <c r="B21" s="1" t="s">
        <v>10</v>
      </c>
      <c r="C21" s="1">
        <v>810.97900000000004</v>
      </c>
      <c r="D21" s="4">
        <v>5.9597508715534602</v>
      </c>
    </row>
    <row r="22" spans="1:4" x14ac:dyDescent="0.3">
      <c r="A22" s="1" t="s">
        <v>20</v>
      </c>
      <c r="B22" s="1" t="s">
        <v>10</v>
      </c>
      <c r="C22" s="1">
        <v>741.66399999999999</v>
      </c>
      <c r="D22" s="4">
        <v>5.4503663724952496</v>
      </c>
    </row>
    <row r="23" spans="1:4" x14ac:dyDescent="0.3">
      <c r="A23" s="1" t="s">
        <v>4</v>
      </c>
      <c r="B23" s="1" t="s">
        <v>10</v>
      </c>
      <c r="C23" s="1">
        <v>451.23200000000003</v>
      </c>
      <c r="D23" s="4">
        <v>3.3160295214460684</v>
      </c>
    </row>
    <row r="24" spans="1:4" x14ac:dyDescent="0.3">
      <c r="A24" s="1" t="s">
        <v>13</v>
      </c>
      <c r="B24" s="1" t="s">
        <v>10</v>
      </c>
      <c r="C24" s="1">
        <v>449.32799999999997</v>
      </c>
      <c r="D24" s="4">
        <v>3.3020373395776867</v>
      </c>
    </row>
    <row r="25" spans="1:4" x14ac:dyDescent="0.3">
      <c r="A25" s="1" t="s">
        <v>11</v>
      </c>
      <c r="B25" s="1" t="s">
        <v>10</v>
      </c>
      <c r="C25" s="1">
        <v>193.26400000000001</v>
      </c>
      <c r="D25" s="4">
        <v>1.4202652503207949</v>
      </c>
    </row>
    <row r="26" spans="1:4" x14ac:dyDescent="0.3">
      <c r="A26" s="1" t="s">
        <v>21</v>
      </c>
      <c r="B26" s="1" t="s">
        <v>10</v>
      </c>
      <c r="C26" s="1">
        <v>183.108</v>
      </c>
      <c r="D26" s="4">
        <v>1.3456304819094094</v>
      </c>
    </row>
    <row r="27" spans="1:4" x14ac:dyDescent="0.3">
      <c r="A27" s="1" t="s">
        <v>21</v>
      </c>
      <c r="B27" s="1" t="s">
        <v>35</v>
      </c>
      <c r="C27" s="1">
        <v>41851.046999999897</v>
      </c>
      <c r="D27" s="4">
        <v>32.470186170932855</v>
      </c>
    </row>
    <row r="28" spans="1:4" x14ac:dyDescent="0.3">
      <c r="A28" s="1" t="s">
        <v>17</v>
      </c>
      <c r="B28" s="1" t="s">
        <v>35</v>
      </c>
      <c r="C28" s="1">
        <v>32493.788</v>
      </c>
      <c r="D28" s="4">
        <v>25.210345293364501</v>
      </c>
    </row>
    <row r="29" spans="1:4" x14ac:dyDescent="0.3">
      <c r="A29" s="1" t="s">
        <v>18</v>
      </c>
      <c r="B29" s="1" t="s">
        <v>35</v>
      </c>
      <c r="C29" s="1">
        <v>24219.288</v>
      </c>
      <c r="D29" s="4">
        <v>18.790564314614205</v>
      </c>
    </row>
    <row r="30" spans="1:4" x14ac:dyDescent="0.3">
      <c r="A30" s="1" t="s">
        <v>19</v>
      </c>
      <c r="B30" s="1" t="s">
        <v>35</v>
      </c>
      <c r="C30" s="1">
        <v>12492.135</v>
      </c>
      <c r="D30" s="4">
        <v>9.6920382690169546</v>
      </c>
    </row>
    <row r="31" spans="1:4" x14ac:dyDescent="0.3">
      <c r="A31" s="1" t="s">
        <v>11</v>
      </c>
      <c r="B31" s="1" t="s">
        <v>35</v>
      </c>
      <c r="C31" s="1">
        <v>4419.4579999999996</v>
      </c>
      <c r="D31" s="4">
        <v>3.4288419124763805</v>
      </c>
    </row>
    <row r="32" spans="1:4" x14ac:dyDescent="0.3">
      <c r="A32" s="1" t="s">
        <v>7</v>
      </c>
      <c r="B32" s="1" t="s">
        <v>35</v>
      </c>
      <c r="C32" s="1">
        <v>2369.2020000000002</v>
      </c>
      <c r="D32" s="4">
        <v>1.8381482789796548</v>
      </c>
    </row>
    <row r="33" spans="1:4" x14ac:dyDescent="0.3">
      <c r="A33" s="1" t="s">
        <v>15</v>
      </c>
      <c r="B33" s="1" t="s">
        <v>35</v>
      </c>
      <c r="C33" s="1">
        <v>2026.404</v>
      </c>
      <c r="D33" s="4">
        <v>1.5721880300276163</v>
      </c>
    </row>
    <row r="34" spans="1:4" x14ac:dyDescent="0.3">
      <c r="A34" s="1" t="s">
        <v>5</v>
      </c>
      <c r="B34" s="1" t="s">
        <v>35</v>
      </c>
      <c r="C34" s="1">
        <v>1853.9079999999999</v>
      </c>
      <c r="D34" s="4">
        <v>1.4383567967554534</v>
      </c>
    </row>
    <row r="35" spans="1:4" x14ac:dyDescent="0.3">
      <c r="A35" s="1" t="s">
        <v>6</v>
      </c>
      <c r="B35" s="1" t="s">
        <v>35</v>
      </c>
      <c r="C35" s="1">
        <v>1505.5809999999999</v>
      </c>
      <c r="D35" s="4">
        <v>1.1681068663687044</v>
      </c>
    </row>
    <row r="36" spans="1:4" x14ac:dyDescent="0.3">
      <c r="A36" s="1" t="s">
        <v>34</v>
      </c>
      <c r="B36" s="1" t="s">
        <v>35</v>
      </c>
      <c r="C36" s="1">
        <v>1455.16</v>
      </c>
      <c r="D36" s="4">
        <v>1.1289876716464171</v>
      </c>
    </row>
    <row r="37" spans="1:4" x14ac:dyDescent="0.3">
      <c r="A37" s="1" t="s">
        <v>18</v>
      </c>
      <c r="B37" s="1" t="s">
        <v>40</v>
      </c>
      <c r="C37" s="1">
        <v>63556.855000000003</v>
      </c>
      <c r="D37" s="4">
        <v>32.262880624191133</v>
      </c>
    </row>
    <row r="38" spans="1:4" x14ac:dyDescent="0.3">
      <c r="A38" s="1" t="s">
        <v>17</v>
      </c>
      <c r="B38" s="1" t="s">
        <v>40</v>
      </c>
      <c r="C38" s="1">
        <v>40883.942999999999</v>
      </c>
      <c r="D38" s="4">
        <v>20.753603564166834</v>
      </c>
    </row>
    <row r="39" spans="1:4" x14ac:dyDescent="0.3">
      <c r="A39" s="1" t="s">
        <v>42</v>
      </c>
      <c r="B39" s="1" t="s">
        <v>40</v>
      </c>
      <c r="C39" s="1">
        <v>29443.587</v>
      </c>
      <c r="D39" s="4">
        <v>14.946223071122475</v>
      </c>
    </row>
    <row r="40" spans="1:4" x14ac:dyDescent="0.3">
      <c r="A40" s="1" t="s">
        <v>29</v>
      </c>
      <c r="B40" s="1" t="s">
        <v>40</v>
      </c>
      <c r="C40" s="1">
        <v>18159.050999999999</v>
      </c>
      <c r="D40" s="4">
        <v>9.2179402939556798</v>
      </c>
    </row>
    <row r="41" spans="1:4" x14ac:dyDescent="0.3">
      <c r="A41" s="1" t="s">
        <v>19</v>
      </c>
      <c r="B41" s="1" t="s">
        <v>40</v>
      </c>
      <c r="C41" s="1">
        <v>15262.342000000001</v>
      </c>
      <c r="D41" s="4">
        <v>7.74750603993194</v>
      </c>
    </row>
    <row r="42" spans="1:4" x14ac:dyDescent="0.3">
      <c r="A42" s="1" t="s">
        <v>34</v>
      </c>
      <c r="B42" s="1" t="s">
        <v>40</v>
      </c>
      <c r="C42" s="1">
        <v>13560.557000000001</v>
      </c>
      <c r="D42" s="4">
        <v>6.8836419248331184</v>
      </c>
    </row>
    <row r="43" spans="1:4" x14ac:dyDescent="0.3">
      <c r="A43" s="1" t="s">
        <v>11</v>
      </c>
      <c r="B43" s="1" t="s">
        <v>40</v>
      </c>
      <c r="C43" s="1">
        <v>5149.6289999999999</v>
      </c>
      <c r="D43" s="4">
        <v>2.6140668175899004</v>
      </c>
    </row>
    <row r="44" spans="1:4" x14ac:dyDescent="0.3">
      <c r="A44" s="1" t="s">
        <v>28</v>
      </c>
      <c r="B44" s="1" t="s">
        <v>40</v>
      </c>
      <c r="C44" s="1">
        <v>2589.6880000000001</v>
      </c>
      <c r="D44" s="4">
        <v>1.3145835299418178</v>
      </c>
    </row>
    <row r="45" spans="1:4" x14ac:dyDescent="0.3">
      <c r="A45" s="1" t="s">
        <v>27</v>
      </c>
      <c r="B45" s="1" t="s">
        <v>40</v>
      </c>
      <c r="C45" s="1">
        <v>2315.8310000000001</v>
      </c>
      <c r="D45" s="4">
        <v>1.1755675937521006</v>
      </c>
    </row>
    <row r="46" spans="1:4" x14ac:dyDescent="0.3">
      <c r="A46" s="6" t="s">
        <v>18</v>
      </c>
      <c r="B46" s="6" t="s">
        <v>51</v>
      </c>
      <c r="C46" s="6">
        <v>33584.441999999995</v>
      </c>
      <c r="D46" s="4">
        <v>29.219628758122358</v>
      </c>
    </row>
    <row r="47" spans="1:4" x14ac:dyDescent="0.3">
      <c r="A47" s="6" t="s">
        <v>21</v>
      </c>
      <c r="B47" s="6" t="s">
        <v>51</v>
      </c>
      <c r="C47" s="6">
        <v>17825.234</v>
      </c>
      <c r="D47" s="4">
        <v>15.508571498870236</v>
      </c>
    </row>
    <row r="48" spans="1:4" x14ac:dyDescent="0.3">
      <c r="A48" s="6" t="s">
        <v>17</v>
      </c>
      <c r="B48" s="6" t="s">
        <v>51</v>
      </c>
      <c r="C48" s="6">
        <v>16287.918999999991</v>
      </c>
      <c r="D48" s="4">
        <v>14.171054157230522</v>
      </c>
    </row>
    <row r="49" spans="1:4" x14ac:dyDescent="0.3">
      <c r="A49" s="6" t="s">
        <v>13</v>
      </c>
      <c r="B49" s="6" t="s">
        <v>51</v>
      </c>
      <c r="C49" s="6">
        <v>8165.0039999999999</v>
      </c>
      <c r="D49" s="4">
        <v>7.1038365231312799</v>
      </c>
    </row>
    <row r="50" spans="1:4" x14ac:dyDescent="0.3">
      <c r="A50" s="6" t="s">
        <v>9</v>
      </c>
      <c r="B50" s="6" t="s">
        <v>51</v>
      </c>
      <c r="C50" s="6">
        <v>7216.7649999999994</v>
      </c>
      <c r="D50" s="4">
        <v>6.2788357220468605</v>
      </c>
    </row>
    <row r="51" spans="1:4" x14ac:dyDescent="0.3">
      <c r="A51" s="6" t="s">
        <v>19</v>
      </c>
      <c r="B51" s="6" t="s">
        <v>51</v>
      </c>
      <c r="C51" s="6">
        <v>5773.9290000000001</v>
      </c>
      <c r="D51" s="4">
        <v>5.0235183855595009</v>
      </c>
    </row>
    <row r="52" spans="1:4" x14ac:dyDescent="0.3">
      <c r="A52" s="6" t="s">
        <v>16</v>
      </c>
      <c r="B52" s="6" t="s">
        <v>51</v>
      </c>
      <c r="C52" s="6">
        <v>5034.6840000000002</v>
      </c>
      <c r="D52" s="4">
        <v>4.3803496093357319</v>
      </c>
    </row>
    <row r="53" spans="1:4" x14ac:dyDescent="0.3">
      <c r="A53" s="6" t="s">
        <v>5</v>
      </c>
      <c r="B53" s="6" t="s">
        <v>51</v>
      </c>
      <c r="C53" s="6">
        <v>3943.3339999999998</v>
      </c>
      <c r="D53" s="4">
        <v>3.430837277251225</v>
      </c>
    </row>
    <row r="54" spans="1:4" x14ac:dyDescent="0.3">
      <c r="A54" s="6" t="s">
        <v>4</v>
      </c>
      <c r="B54" s="6" t="s">
        <v>51</v>
      </c>
      <c r="C54" s="6">
        <v>3221.259</v>
      </c>
      <c r="D54" s="4">
        <v>2.802606996232377</v>
      </c>
    </row>
    <row r="55" spans="1:4" x14ac:dyDescent="0.3">
      <c r="A55" s="6" t="s">
        <v>14</v>
      </c>
      <c r="B55" s="6" t="s">
        <v>51</v>
      </c>
      <c r="C55" s="6">
        <v>2788.7649999999999</v>
      </c>
      <c r="D55" s="4">
        <v>2.4263222236547834</v>
      </c>
    </row>
    <row r="56" spans="1:4" x14ac:dyDescent="0.3">
      <c r="A56" s="6" t="s">
        <v>23</v>
      </c>
      <c r="B56" s="6" t="s">
        <v>51</v>
      </c>
      <c r="C56" s="6">
        <v>2165.1390000000001</v>
      </c>
      <c r="D56" s="4">
        <v>1.8837459854099199</v>
      </c>
    </row>
    <row r="57" spans="1:4" x14ac:dyDescent="0.3">
      <c r="A57" s="6" t="s">
        <v>31</v>
      </c>
      <c r="B57" s="6" t="s">
        <v>51</v>
      </c>
      <c r="C57" s="6">
        <v>1249.95</v>
      </c>
      <c r="D57" s="4">
        <v>1.0874998300169778</v>
      </c>
    </row>
    <row r="58" spans="1:4" x14ac:dyDescent="0.3">
      <c r="A58" s="6" t="s">
        <v>25</v>
      </c>
      <c r="B58" s="6" t="s">
        <v>51</v>
      </c>
      <c r="C58" s="6">
        <v>1193.2040000000002</v>
      </c>
      <c r="D58" s="4">
        <v>1.0381288428941782</v>
      </c>
    </row>
    <row r="59" spans="1:4" x14ac:dyDescent="0.3">
      <c r="A59" s="6" t="s">
        <v>22</v>
      </c>
      <c r="B59" s="6" t="s">
        <v>51</v>
      </c>
      <c r="C59" s="6">
        <v>1192.703</v>
      </c>
      <c r="D59" s="4">
        <v>1.0376929555268124</v>
      </c>
    </row>
    <row r="60" spans="1:4" x14ac:dyDescent="0.3">
      <c r="A60" s="6" t="s">
        <v>15</v>
      </c>
      <c r="B60" s="6" t="s">
        <v>51</v>
      </c>
      <c r="C60" s="6">
        <v>1153.752</v>
      </c>
      <c r="D60" s="4">
        <v>1.0038042352748093</v>
      </c>
    </row>
    <row r="61" spans="1:4" x14ac:dyDescent="0.3">
      <c r="A61" s="1" t="s">
        <v>2</v>
      </c>
      <c r="B61" s="1" t="s">
        <v>43</v>
      </c>
      <c r="C61" s="1">
        <v>71827.092000000004</v>
      </c>
      <c r="D61" s="4">
        <v>58.187521501212302</v>
      </c>
    </row>
    <row r="62" spans="1:4" x14ac:dyDescent="0.3">
      <c r="A62" s="1" t="s">
        <v>6</v>
      </c>
      <c r="B62" s="1" t="s">
        <v>43</v>
      </c>
      <c r="C62" s="1">
        <v>33091.154000000002</v>
      </c>
      <c r="D62" s="4">
        <v>26.807325498781537</v>
      </c>
    </row>
    <row r="63" spans="1:4" x14ac:dyDescent="0.3">
      <c r="A63" s="1" t="s">
        <v>4</v>
      </c>
      <c r="B63" s="1" t="s">
        <v>43</v>
      </c>
      <c r="C63" s="1">
        <v>10271.915000000001</v>
      </c>
      <c r="D63" s="4">
        <v>8.3213347259154684</v>
      </c>
    </row>
    <row r="64" spans="1:4" x14ac:dyDescent="0.3">
      <c r="A64" s="1" t="s">
        <v>7</v>
      </c>
      <c r="B64" s="1" t="s">
        <v>43</v>
      </c>
      <c r="C64" s="1">
        <v>4498.5730000000003</v>
      </c>
      <c r="D64" s="4">
        <v>3.644318680787928</v>
      </c>
    </row>
    <row r="65" spans="1:4" x14ac:dyDescent="0.3">
      <c r="A65" s="1" t="s">
        <v>5</v>
      </c>
      <c r="B65" s="1" t="s">
        <v>43</v>
      </c>
      <c r="C65" s="1">
        <v>2685.3180000000002</v>
      </c>
      <c r="D65" s="4">
        <v>2.1753908520004179</v>
      </c>
    </row>
    <row r="66" spans="1:4" x14ac:dyDescent="0.3">
      <c r="A66" s="4" t="s">
        <v>2</v>
      </c>
      <c r="B66" s="4" t="s">
        <v>3</v>
      </c>
      <c r="C66" s="4">
        <v>64784.53</v>
      </c>
      <c r="D66">
        <v>96.932827674012117</v>
      </c>
    </row>
    <row r="67" spans="1:4" x14ac:dyDescent="0.3">
      <c r="A67" s="4" t="s">
        <v>7</v>
      </c>
      <c r="B67" s="4" t="s">
        <v>3</v>
      </c>
      <c r="C67" s="4">
        <v>1072.17</v>
      </c>
      <c r="D67">
        <v>1.6042173933691513</v>
      </c>
    </row>
  </sheetData>
  <sortState xmlns:xlrd2="http://schemas.microsoft.com/office/spreadsheetml/2017/richdata2" ref="A2:D66">
    <sortCondition ref="B2:B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4591-8FD9-433F-90B5-E4DEC78C25C0}">
  <dimension ref="A1:F44"/>
  <sheetViews>
    <sheetView tabSelected="1" topLeftCell="C1" workbookViewId="0">
      <selection activeCell="E17" sqref="E17"/>
    </sheetView>
  </sheetViews>
  <sheetFormatPr defaultColWidth="16.77734375" defaultRowHeight="14.4" x14ac:dyDescent="0.3"/>
  <cols>
    <col min="1" max="1" width="41.5546875" bestFit="1" customWidth="1"/>
    <col min="2" max="2" width="23" bestFit="1" customWidth="1"/>
    <col min="3" max="3" width="13.109375" bestFit="1" customWidth="1"/>
    <col min="4" max="4" width="11.5546875" bestFit="1" customWidth="1"/>
  </cols>
  <sheetData>
    <row r="1" spans="1:6" x14ac:dyDescent="0.3">
      <c r="A1" s="1" t="s">
        <v>0</v>
      </c>
      <c r="B1" s="1" t="s">
        <v>1</v>
      </c>
      <c r="C1" s="4" t="s">
        <v>85</v>
      </c>
      <c r="D1" s="4" t="s">
        <v>86</v>
      </c>
      <c r="F1" s="7"/>
    </row>
    <row r="2" spans="1:6" x14ac:dyDescent="0.3">
      <c r="A2" s="1" t="s">
        <v>17</v>
      </c>
      <c r="B2" s="1" t="s">
        <v>39</v>
      </c>
      <c r="C2" s="4">
        <v>26788.695</v>
      </c>
      <c r="D2" s="4">
        <v>17.077951917339249</v>
      </c>
      <c r="F2" s="7"/>
    </row>
    <row r="3" spans="1:6" x14ac:dyDescent="0.3">
      <c r="A3" s="1" t="s">
        <v>18</v>
      </c>
      <c r="B3" s="1" t="s">
        <v>39</v>
      </c>
      <c r="C3" s="4">
        <v>33793.953999999998</v>
      </c>
      <c r="D3" s="4">
        <v>21.543846070470185</v>
      </c>
      <c r="F3" s="7"/>
    </row>
    <row r="4" spans="1:6" x14ac:dyDescent="0.3">
      <c r="A4" s="1" t="s">
        <v>19</v>
      </c>
      <c r="B4" s="1" t="s">
        <v>39</v>
      </c>
      <c r="C4" s="4">
        <v>83526.822</v>
      </c>
      <c r="D4" s="4">
        <v>53.24884433243777</v>
      </c>
      <c r="F4" s="7"/>
    </row>
    <row r="5" spans="1:6" x14ac:dyDescent="0.3">
      <c r="A5" s="1" t="s">
        <v>74</v>
      </c>
      <c r="B5" s="1" t="s">
        <v>39</v>
      </c>
      <c r="C5" s="4">
        <v>12751.815000000002</v>
      </c>
      <c r="D5" s="4">
        <v>8.1293576797528004</v>
      </c>
      <c r="F5" s="7"/>
    </row>
    <row r="6" spans="1:6" x14ac:dyDescent="0.3">
      <c r="A6" s="1" t="s">
        <v>29</v>
      </c>
      <c r="B6" s="1" t="s">
        <v>32</v>
      </c>
      <c r="C6" s="4">
        <v>3449.029</v>
      </c>
      <c r="D6" s="4">
        <v>9.3770614102639218</v>
      </c>
      <c r="F6" s="7"/>
    </row>
    <row r="7" spans="1:6" x14ac:dyDescent="0.3">
      <c r="A7" s="1" t="s">
        <v>17</v>
      </c>
      <c r="B7" s="1" t="s">
        <v>32</v>
      </c>
      <c r="C7" s="4">
        <v>19993.378000000001</v>
      </c>
      <c r="D7" s="4">
        <v>54.357076529254954</v>
      </c>
      <c r="F7" s="7"/>
    </row>
    <row r="8" spans="1:6" x14ac:dyDescent="0.3">
      <c r="A8" s="1" t="s">
        <v>18</v>
      </c>
      <c r="B8" s="1" t="s">
        <v>32</v>
      </c>
      <c r="C8" s="4">
        <v>9582.7870000000003</v>
      </c>
      <c r="D8" s="4">
        <v>26.053240544071617</v>
      </c>
      <c r="F8" s="7"/>
    </row>
    <row r="9" spans="1:6" x14ac:dyDescent="0.3">
      <c r="A9" s="1" t="s">
        <v>74</v>
      </c>
      <c r="B9" s="1" t="s">
        <v>32</v>
      </c>
      <c r="C9" s="4">
        <v>3756.3609999999971</v>
      </c>
      <c r="D9" s="4">
        <v>10.212621516409513</v>
      </c>
      <c r="F9" s="7"/>
    </row>
    <row r="10" spans="1:6" x14ac:dyDescent="0.3">
      <c r="A10" s="1" t="s">
        <v>17</v>
      </c>
      <c r="B10" s="1" t="s">
        <v>44</v>
      </c>
      <c r="C10" s="4">
        <v>3207.5259999999998</v>
      </c>
      <c r="D10" s="4">
        <v>7.5206413260193479</v>
      </c>
      <c r="F10" s="7"/>
    </row>
    <row r="11" spans="1:6" x14ac:dyDescent="0.3">
      <c r="A11" s="1" t="s">
        <v>42</v>
      </c>
      <c r="B11" s="1" t="s">
        <v>44</v>
      </c>
      <c r="C11" s="1">
        <v>27359.913</v>
      </c>
      <c r="D11" s="4">
        <v>64.15040513595028</v>
      </c>
      <c r="F11" s="7"/>
    </row>
    <row r="12" spans="1:6" x14ac:dyDescent="0.3">
      <c r="A12" s="1" t="s">
        <v>27</v>
      </c>
      <c r="B12" s="1" t="s">
        <v>44</v>
      </c>
      <c r="C12" s="1">
        <v>3568.8380000000002</v>
      </c>
      <c r="D12" s="4">
        <v>8.3678045162122583</v>
      </c>
      <c r="F12" s="7"/>
    </row>
    <row r="13" spans="1:6" x14ac:dyDescent="0.3">
      <c r="A13" s="1" t="s">
        <v>34</v>
      </c>
      <c r="B13" s="1" t="s">
        <v>44</v>
      </c>
      <c r="C13" s="1">
        <v>7628.6980000000003</v>
      </c>
      <c r="D13" s="4">
        <v>17.886901444453187</v>
      </c>
      <c r="F13" s="7"/>
    </row>
    <row r="14" spans="1:6" x14ac:dyDescent="0.3">
      <c r="A14" s="1" t="s">
        <v>74</v>
      </c>
      <c r="B14" s="1" t="s">
        <v>44</v>
      </c>
      <c r="C14" s="1">
        <v>884.65900000000693</v>
      </c>
      <c r="D14" s="4">
        <v>2.0742475773649289</v>
      </c>
      <c r="F14" s="7"/>
    </row>
    <row r="15" spans="1:6" x14ac:dyDescent="0.3">
      <c r="A15" s="1" t="s">
        <v>7</v>
      </c>
      <c r="B15" s="1" t="s">
        <v>10</v>
      </c>
      <c r="C15" s="1">
        <v>810.97900000000004</v>
      </c>
      <c r="D15" s="4">
        <v>5.9597508715534602</v>
      </c>
      <c r="F15" s="7"/>
    </row>
    <row r="16" spans="1:6" x14ac:dyDescent="0.3">
      <c r="A16" s="1" t="s">
        <v>17</v>
      </c>
      <c r="B16" s="1" t="s">
        <v>10</v>
      </c>
      <c r="C16" s="1">
        <v>5045.4759999999997</v>
      </c>
      <c r="D16" s="4">
        <v>37.078370695667907</v>
      </c>
      <c r="F16" s="7"/>
    </row>
    <row r="17" spans="1:6" x14ac:dyDescent="0.3">
      <c r="A17" s="1" t="s">
        <v>18</v>
      </c>
      <c r="B17" s="1" t="s">
        <v>10</v>
      </c>
      <c r="C17" s="1">
        <v>5363.7889999999998</v>
      </c>
      <c r="D17" s="4">
        <v>39.417600415767687</v>
      </c>
      <c r="F17" s="7"/>
    </row>
    <row r="18" spans="1:6" x14ac:dyDescent="0.3">
      <c r="A18" s="1" t="s">
        <v>20</v>
      </c>
      <c r="B18" s="1" t="s">
        <v>10</v>
      </c>
      <c r="C18" s="1">
        <v>741.66399999999999</v>
      </c>
      <c r="D18" s="4">
        <v>5.4503663724952496</v>
      </c>
      <c r="F18" s="7"/>
    </row>
    <row r="19" spans="1:6" x14ac:dyDescent="0.3">
      <c r="A19" s="1" t="s">
        <v>74</v>
      </c>
      <c r="B19" s="1" t="s">
        <v>10</v>
      </c>
      <c r="C19" s="1">
        <v>1645.6910000000025</v>
      </c>
      <c r="D19" s="4">
        <v>12.0939116445157</v>
      </c>
      <c r="F19" s="7"/>
    </row>
    <row r="20" spans="1:6" x14ac:dyDescent="0.3">
      <c r="A20" s="1" t="s">
        <v>17</v>
      </c>
      <c r="B20" s="1" t="s">
        <v>35</v>
      </c>
      <c r="C20" s="1">
        <v>32493.788</v>
      </c>
      <c r="D20" s="4">
        <v>25.210345293364501</v>
      </c>
      <c r="F20" s="7"/>
    </row>
    <row r="21" spans="1:6" x14ac:dyDescent="0.3">
      <c r="A21" s="1" t="s">
        <v>18</v>
      </c>
      <c r="B21" s="1" t="s">
        <v>35</v>
      </c>
      <c r="C21" s="1">
        <v>24219.288</v>
      </c>
      <c r="D21" s="4">
        <v>18.790564314614205</v>
      </c>
      <c r="F21" s="7"/>
    </row>
    <row r="22" spans="1:6" x14ac:dyDescent="0.3">
      <c r="A22" s="1" t="s">
        <v>21</v>
      </c>
      <c r="B22" s="1" t="s">
        <v>35</v>
      </c>
      <c r="C22" s="1">
        <v>41851.046999999897</v>
      </c>
      <c r="D22" s="4">
        <v>32.470186170932855</v>
      </c>
    </row>
    <row r="23" spans="1:6" x14ac:dyDescent="0.3">
      <c r="A23" s="1" t="s">
        <v>19</v>
      </c>
      <c r="B23" s="1" t="s">
        <v>35</v>
      </c>
      <c r="C23" s="1">
        <v>12492.135</v>
      </c>
      <c r="D23" s="4">
        <v>9.6920382690169546</v>
      </c>
    </row>
    <row r="24" spans="1:6" x14ac:dyDescent="0.3">
      <c r="A24" s="1" t="s">
        <v>74</v>
      </c>
      <c r="B24" s="1" t="s">
        <v>35</v>
      </c>
      <c r="C24" s="1">
        <v>17834.432000000001</v>
      </c>
      <c r="D24" s="4">
        <v>13.836865952071491</v>
      </c>
    </row>
    <row r="25" spans="1:6" x14ac:dyDescent="0.3">
      <c r="A25" s="1" t="s">
        <v>29</v>
      </c>
      <c r="B25" s="1" t="s">
        <v>40</v>
      </c>
      <c r="C25" s="1">
        <v>18159.050999999999</v>
      </c>
      <c r="D25" s="4">
        <v>9.2179402939556798</v>
      </c>
    </row>
    <row r="26" spans="1:6" x14ac:dyDescent="0.3">
      <c r="A26" s="1" t="s">
        <v>17</v>
      </c>
      <c r="B26" s="1" t="s">
        <v>40</v>
      </c>
      <c r="C26" s="1">
        <v>40883.942999999999</v>
      </c>
      <c r="D26" s="4">
        <v>20.753603564166834</v>
      </c>
    </row>
    <row r="27" spans="1:6" x14ac:dyDescent="0.3">
      <c r="A27" s="1" t="s">
        <v>18</v>
      </c>
      <c r="B27" s="1" t="s">
        <v>40</v>
      </c>
      <c r="C27" s="1">
        <v>63556.855000000003</v>
      </c>
      <c r="D27" s="4">
        <v>32.262880624191133</v>
      </c>
    </row>
    <row r="28" spans="1:6" x14ac:dyDescent="0.3">
      <c r="A28" s="1" t="s">
        <v>42</v>
      </c>
      <c r="B28" s="1" t="s">
        <v>40</v>
      </c>
      <c r="C28" s="1">
        <v>29443.587</v>
      </c>
      <c r="D28" s="4">
        <v>14.946223071122475</v>
      </c>
    </row>
    <row r="29" spans="1:6" x14ac:dyDescent="0.3">
      <c r="A29" s="1" t="s">
        <v>19</v>
      </c>
      <c r="B29" s="1" t="s">
        <v>40</v>
      </c>
      <c r="C29" s="1">
        <v>15262.342000000001</v>
      </c>
      <c r="D29" s="4">
        <v>7.74750603993194</v>
      </c>
    </row>
    <row r="30" spans="1:6" x14ac:dyDescent="0.3">
      <c r="A30" s="1" t="s">
        <v>34</v>
      </c>
      <c r="B30" s="1" t="s">
        <v>40</v>
      </c>
      <c r="C30" s="1">
        <v>13560.557000000001</v>
      </c>
      <c r="D30" s="4">
        <v>6.8836419248331184</v>
      </c>
    </row>
    <row r="31" spans="1:6" x14ac:dyDescent="0.3">
      <c r="A31" s="1" t="s">
        <v>74</v>
      </c>
      <c r="B31" s="1" t="s">
        <v>40</v>
      </c>
      <c r="C31" s="1">
        <v>16130.503999999986</v>
      </c>
      <c r="D31" s="4">
        <v>8.1882044817988202</v>
      </c>
    </row>
    <row r="32" spans="1:6" x14ac:dyDescent="0.3">
      <c r="A32" s="6" t="s">
        <v>17</v>
      </c>
      <c r="B32" s="6" t="s">
        <v>51</v>
      </c>
      <c r="C32" s="6">
        <v>16287.918999999991</v>
      </c>
      <c r="D32" s="4">
        <v>14.171054157230522</v>
      </c>
    </row>
    <row r="33" spans="1:4" x14ac:dyDescent="0.3">
      <c r="A33" s="6" t="s">
        <v>18</v>
      </c>
      <c r="B33" s="6" t="s">
        <v>51</v>
      </c>
      <c r="C33" s="6">
        <v>33584.441999999995</v>
      </c>
      <c r="D33" s="4">
        <v>29.219628758122358</v>
      </c>
    </row>
    <row r="34" spans="1:4" x14ac:dyDescent="0.3">
      <c r="A34" s="6" t="s">
        <v>21</v>
      </c>
      <c r="B34" s="6" t="s">
        <v>51</v>
      </c>
      <c r="C34" s="6">
        <v>17825.234</v>
      </c>
      <c r="D34" s="4">
        <v>15.508571498870236</v>
      </c>
    </row>
    <row r="35" spans="1:4" x14ac:dyDescent="0.3">
      <c r="A35" s="6" t="s">
        <v>19</v>
      </c>
      <c r="B35" s="6" t="s">
        <v>51</v>
      </c>
      <c r="C35" s="6">
        <v>5773.9290000000001</v>
      </c>
      <c r="D35" s="4">
        <v>5.0235183855595009</v>
      </c>
    </row>
    <row r="36" spans="1:4" x14ac:dyDescent="0.3">
      <c r="A36" s="6" t="s">
        <v>13</v>
      </c>
      <c r="B36" s="6" t="s">
        <v>51</v>
      </c>
      <c r="C36" s="6">
        <v>8165.0039999999999</v>
      </c>
      <c r="D36" s="4">
        <v>7.1038365231312799</v>
      </c>
    </row>
    <row r="37" spans="1:4" x14ac:dyDescent="0.3">
      <c r="A37" s="6" t="s">
        <v>9</v>
      </c>
      <c r="B37" s="6" t="s">
        <v>51</v>
      </c>
      <c r="C37" s="6">
        <v>7216.7649999999994</v>
      </c>
      <c r="D37" s="4">
        <v>6.2788357220468605</v>
      </c>
    </row>
    <row r="38" spans="1:4" x14ac:dyDescent="0.3">
      <c r="A38" s="1" t="s">
        <v>74</v>
      </c>
      <c r="B38" s="6" t="s">
        <v>51</v>
      </c>
      <c r="C38" s="6">
        <v>26084.655999999959</v>
      </c>
      <c r="D38" s="4">
        <v>22.694554955039237</v>
      </c>
    </row>
    <row r="39" spans="1:4" x14ac:dyDescent="0.3">
      <c r="A39" s="1" t="s">
        <v>4</v>
      </c>
      <c r="B39" s="1" t="s">
        <v>43</v>
      </c>
      <c r="C39" s="1">
        <v>10271.915000000001</v>
      </c>
      <c r="D39" s="4">
        <v>8.3213347259154684</v>
      </c>
    </row>
    <row r="40" spans="1:4" x14ac:dyDescent="0.3">
      <c r="A40" s="1" t="s">
        <v>2</v>
      </c>
      <c r="B40" s="1" t="s">
        <v>43</v>
      </c>
      <c r="C40" s="1">
        <v>71827.092000000004</v>
      </c>
      <c r="D40" s="4">
        <v>58.187521501212302</v>
      </c>
    </row>
    <row r="41" spans="1:4" x14ac:dyDescent="0.3">
      <c r="A41" s="1" t="s">
        <v>6</v>
      </c>
      <c r="B41" s="1" t="s">
        <v>43</v>
      </c>
      <c r="C41" s="1">
        <v>33091.154000000002</v>
      </c>
      <c r="D41" s="4">
        <v>26.807325498781537</v>
      </c>
    </row>
    <row r="42" spans="1:4" x14ac:dyDescent="0.3">
      <c r="A42" s="1" t="s">
        <v>74</v>
      </c>
      <c r="B42" s="1" t="s">
        <v>43</v>
      </c>
      <c r="C42" s="1">
        <v>8250.5530000000435</v>
      </c>
      <c r="D42" s="4">
        <v>6.6838182740906973</v>
      </c>
    </row>
    <row r="43" spans="1:4" x14ac:dyDescent="0.3">
      <c r="A43" s="4" t="s">
        <v>2</v>
      </c>
      <c r="B43" s="4" t="s">
        <v>3</v>
      </c>
      <c r="C43" s="4">
        <v>64784.53</v>
      </c>
      <c r="D43">
        <v>96.932827674012117</v>
      </c>
    </row>
    <row r="44" spans="1:4" x14ac:dyDescent="0.3">
      <c r="A44" s="1" t="s">
        <v>74</v>
      </c>
      <c r="B44" s="4" t="s">
        <v>3</v>
      </c>
      <c r="C44">
        <v>2049.9279999999999</v>
      </c>
      <c r="D44">
        <v>3.0671723259878831</v>
      </c>
    </row>
  </sheetData>
  <sortState xmlns:xlrd2="http://schemas.microsoft.com/office/spreadsheetml/2017/richdata2" ref="A2:D44">
    <sortCondition ref="B2:B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70B6-89A3-48FA-B89C-EC48B724E1EC}">
  <dimension ref="A1:J161"/>
  <sheetViews>
    <sheetView topLeftCell="A70" workbookViewId="0">
      <selection activeCell="A84" sqref="A84"/>
    </sheetView>
  </sheetViews>
  <sheetFormatPr defaultRowHeight="14.4" x14ac:dyDescent="0.3"/>
  <cols>
    <col min="1" max="1" width="50" customWidth="1"/>
    <col min="2" max="2" width="24.109375" customWidth="1"/>
    <col min="4" max="4" width="9.5546875" bestFit="1" customWidth="1"/>
    <col min="5" max="5" width="11.5546875" bestFit="1" customWidth="1"/>
    <col min="7" max="7" width="22" customWidth="1"/>
    <col min="8" max="8" width="16.6640625" customWidth="1"/>
    <col min="9" max="9" width="18.109375" customWidth="1"/>
    <col min="12" max="12" width="41.5546875" bestFit="1" customWidth="1"/>
  </cols>
  <sheetData>
    <row r="1" spans="1:10" ht="13.8" customHeight="1" x14ac:dyDescent="0.3">
      <c r="A1" s="1" t="s">
        <v>0</v>
      </c>
      <c r="B1" s="1" t="s">
        <v>1</v>
      </c>
      <c r="C1" s="1" t="s">
        <v>52</v>
      </c>
      <c r="D1" s="4" t="s">
        <v>79</v>
      </c>
      <c r="E1" s="4" t="s">
        <v>78</v>
      </c>
      <c r="G1" s="2" t="s">
        <v>1</v>
      </c>
      <c r="H1" s="2" t="s">
        <v>80</v>
      </c>
      <c r="I1" s="2" t="s">
        <v>54</v>
      </c>
      <c r="J1" s="2" t="s">
        <v>55</v>
      </c>
    </row>
    <row r="2" spans="1:10" ht="13.8" customHeight="1" x14ac:dyDescent="0.3">
      <c r="A2" s="1" t="s">
        <v>2</v>
      </c>
      <c r="B2" s="1" t="s">
        <v>3</v>
      </c>
      <c r="C2" s="1">
        <v>32392.264999999999</v>
      </c>
      <c r="D2" s="4">
        <f t="shared" ref="D2:D8" si="0">C2*2</f>
        <v>64784.53</v>
      </c>
      <c r="E2" s="4">
        <f>D2/VLOOKUP(B2,$G$1:$J$10,2,FALSE)*100</f>
        <v>96.932827674012117</v>
      </c>
      <c r="G2" s="3" t="s">
        <v>3</v>
      </c>
      <c r="H2" s="3">
        <f>SUM(D2:D8)</f>
        <v>66834.457999999999</v>
      </c>
      <c r="I2" s="4">
        <v>116578</v>
      </c>
      <c r="J2">
        <f t="shared" ref="J2:J10" si="1">H2/I2*100</f>
        <v>57.330249275163411</v>
      </c>
    </row>
    <row r="3" spans="1:10" ht="13.8" customHeight="1" x14ac:dyDescent="0.3">
      <c r="A3" s="1" t="s">
        <v>4</v>
      </c>
      <c r="B3" s="1" t="s">
        <v>3</v>
      </c>
      <c r="C3" s="1">
        <v>160.083</v>
      </c>
      <c r="D3" s="4">
        <f t="shared" si="0"/>
        <v>320.166</v>
      </c>
      <c r="E3" s="4">
        <f t="shared" ref="E3:E8" si="2">D3/VLOOKUP(B3,$G$1:$J$10,2,FALSE)*100</f>
        <v>0.47904331026369662</v>
      </c>
      <c r="G3" s="3" t="s">
        <v>10</v>
      </c>
      <c r="H3" s="3">
        <v>13607.599000000002</v>
      </c>
      <c r="I3" s="4">
        <v>20887</v>
      </c>
      <c r="J3">
        <f t="shared" si="1"/>
        <v>65.148652271747991</v>
      </c>
    </row>
    <row r="4" spans="1:10" ht="13.8" customHeight="1" x14ac:dyDescent="0.3">
      <c r="A4" s="1" t="s">
        <v>5</v>
      </c>
      <c r="B4" s="1" t="s">
        <v>3</v>
      </c>
      <c r="C4" s="1">
        <v>0.82</v>
      </c>
      <c r="D4" s="4">
        <f t="shared" si="0"/>
        <v>1.64</v>
      </c>
      <c r="E4" s="4">
        <f t="shared" si="2"/>
        <v>2.4538240438786831E-3</v>
      </c>
      <c r="G4" s="3" t="s">
        <v>32</v>
      </c>
      <c r="H4" s="3">
        <v>36781.555</v>
      </c>
      <c r="I4" s="4">
        <v>43661</v>
      </c>
      <c r="J4">
        <f t="shared" si="1"/>
        <v>84.243501065023707</v>
      </c>
    </row>
    <row r="5" spans="1:10" ht="13.8" customHeight="1" x14ac:dyDescent="0.3">
      <c r="A5" s="1" t="s">
        <v>6</v>
      </c>
      <c r="B5" s="1" t="s">
        <v>3</v>
      </c>
      <c r="C5" s="1">
        <v>316.26499999999999</v>
      </c>
      <c r="D5" s="4">
        <f t="shared" si="0"/>
        <v>632.53</v>
      </c>
      <c r="E5" s="4">
        <f t="shared" si="2"/>
        <v>0.94641300150889229</v>
      </c>
      <c r="G5" s="3" t="s">
        <v>35</v>
      </c>
      <c r="H5" s="3">
        <v>128890.6899999999</v>
      </c>
      <c r="I5" s="4">
        <v>277523</v>
      </c>
      <c r="J5">
        <f t="shared" si="1"/>
        <v>46.44324614536449</v>
      </c>
    </row>
    <row r="6" spans="1:10" ht="13.8" customHeight="1" x14ac:dyDescent="0.3">
      <c r="A6" s="1" t="s">
        <v>7</v>
      </c>
      <c r="B6" s="1" t="s">
        <v>3</v>
      </c>
      <c r="C6" s="1">
        <v>536.08500000000004</v>
      </c>
      <c r="D6" s="4">
        <f t="shared" si="0"/>
        <v>1072.17</v>
      </c>
      <c r="E6" s="4">
        <f t="shared" si="2"/>
        <v>1.6042173933691513</v>
      </c>
      <c r="G6" s="3" t="s">
        <v>39</v>
      </c>
      <c r="H6" s="3">
        <v>156861.28599999999</v>
      </c>
      <c r="I6" s="4">
        <v>307439</v>
      </c>
      <c r="J6">
        <f t="shared" si="1"/>
        <v>51.021921747078281</v>
      </c>
    </row>
    <row r="7" spans="1:10" ht="13.8" customHeight="1" x14ac:dyDescent="0.3">
      <c r="A7" s="1" t="s">
        <v>8</v>
      </c>
      <c r="B7" s="1" t="s">
        <v>3</v>
      </c>
      <c r="C7" s="1">
        <v>5.0999999999999997E-2</v>
      </c>
      <c r="D7" s="4">
        <f t="shared" si="0"/>
        <v>0.10199999999999999</v>
      </c>
      <c r="E7" s="4">
        <f t="shared" si="2"/>
        <v>1.5261588565586932E-4</v>
      </c>
      <c r="G7" s="3" t="s">
        <v>40</v>
      </c>
      <c r="H7" s="3">
        <v>196996.83900000001</v>
      </c>
      <c r="I7" s="4">
        <v>397005</v>
      </c>
      <c r="J7">
        <f t="shared" si="1"/>
        <v>49.620745078777347</v>
      </c>
    </row>
    <row r="8" spans="1:10" ht="13.8" customHeight="1" x14ac:dyDescent="0.3">
      <c r="A8" s="1" t="s">
        <v>9</v>
      </c>
      <c r="B8" s="1" t="s">
        <v>3</v>
      </c>
      <c r="C8" s="1">
        <v>11.66</v>
      </c>
      <c r="D8" s="4">
        <f t="shared" si="0"/>
        <v>23.32</v>
      </c>
      <c r="E8" s="4">
        <f t="shared" si="2"/>
        <v>3.4892180916616396E-2</v>
      </c>
      <c r="G8" s="3" t="s">
        <v>43</v>
      </c>
      <c r="H8" s="3">
        <f>SUM(D103:D111)</f>
        <v>123440.71400000004</v>
      </c>
      <c r="I8" s="4">
        <v>442567</v>
      </c>
      <c r="J8">
        <f t="shared" si="1"/>
        <v>27.891983360711492</v>
      </c>
    </row>
    <row r="9" spans="1:10" ht="13.8" customHeight="1" x14ac:dyDescent="0.3">
      <c r="A9" s="1" t="s">
        <v>7</v>
      </c>
      <c r="B9" s="1" t="s">
        <v>10</v>
      </c>
      <c r="C9" s="1">
        <v>810.97900000000004</v>
      </c>
      <c r="D9" s="1">
        <v>810.97900000000004</v>
      </c>
      <c r="E9" s="4">
        <f t="shared" ref="E9:E40" si="3">C9/VLOOKUP(B9,$G$1:$J$10,2,FALSE)*100</f>
        <v>5.9597508715534602</v>
      </c>
      <c r="G9" s="3" t="s">
        <v>44</v>
      </c>
      <c r="H9" s="3">
        <v>42649.634000000013</v>
      </c>
      <c r="I9" s="4">
        <v>79944</v>
      </c>
      <c r="J9">
        <f t="shared" si="1"/>
        <v>53.349387070949682</v>
      </c>
    </row>
    <row r="10" spans="1:10" ht="13.8" customHeight="1" x14ac:dyDescent="0.3">
      <c r="A10" s="1" t="s">
        <v>2</v>
      </c>
      <c r="B10" s="1" t="s">
        <v>10</v>
      </c>
      <c r="C10" s="1">
        <v>58.445999999999998</v>
      </c>
      <c r="D10" s="1">
        <v>58.445999999999998</v>
      </c>
      <c r="E10" s="4">
        <f t="shared" si="3"/>
        <v>0.42951001128119654</v>
      </c>
      <c r="G10" s="3" t="s">
        <v>51</v>
      </c>
      <c r="H10" s="3">
        <v>114937.94899999995</v>
      </c>
      <c r="I10" s="3">
        <v>160415</v>
      </c>
      <c r="J10">
        <f t="shared" si="1"/>
        <v>71.65037496493467</v>
      </c>
    </row>
    <row r="11" spans="1:10" ht="13.8" customHeight="1" x14ac:dyDescent="0.3">
      <c r="A11" s="1" t="s">
        <v>11</v>
      </c>
      <c r="B11" s="1" t="s">
        <v>10</v>
      </c>
      <c r="C11" s="1">
        <v>193.26400000000001</v>
      </c>
      <c r="D11" s="1">
        <v>193.26400000000001</v>
      </c>
      <c r="E11" s="4">
        <f t="shared" si="3"/>
        <v>1.4202652503207949</v>
      </c>
    </row>
    <row r="12" spans="1:10" ht="13.8" customHeight="1" x14ac:dyDescent="0.3">
      <c r="A12" s="1" t="s">
        <v>12</v>
      </c>
      <c r="B12" s="1" t="s">
        <v>10</v>
      </c>
      <c r="C12" s="1">
        <v>125.848</v>
      </c>
      <c r="D12" s="1">
        <v>125.848</v>
      </c>
      <c r="E12" s="4">
        <f t="shared" si="3"/>
        <v>0.92483618895589126</v>
      </c>
      <c r="G12" s="5" t="s">
        <v>81</v>
      </c>
    </row>
    <row r="13" spans="1:10" ht="13.8" customHeight="1" x14ac:dyDescent="0.3">
      <c r="A13" s="1" t="s">
        <v>13</v>
      </c>
      <c r="B13" s="1" t="s">
        <v>10</v>
      </c>
      <c r="C13" s="1">
        <v>449.32799999999997</v>
      </c>
      <c r="D13" s="1">
        <v>449.32799999999997</v>
      </c>
      <c r="E13" s="4">
        <f t="shared" si="3"/>
        <v>3.3020373395776867</v>
      </c>
      <c r="G13" s="4" t="s">
        <v>82</v>
      </c>
      <c r="H13" s="4"/>
    </row>
    <row r="14" spans="1:10" ht="13.8" customHeight="1" x14ac:dyDescent="0.3">
      <c r="A14" s="1" t="s">
        <v>14</v>
      </c>
      <c r="B14" s="1" t="s">
        <v>10</v>
      </c>
      <c r="C14" s="1">
        <v>11.311</v>
      </c>
      <c r="D14" s="1">
        <v>11.311</v>
      </c>
      <c r="E14" s="4">
        <f t="shared" si="3"/>
        <v>8.3122672853601864E-2</v>
      </c>
      <c r="G14" s="4" t="s">
        <v>83</v>
      </c>
      <c r="H14" s="4"/>
    </row>
    <row r="15" spans="1:10" ht="13.8" customHeight="1" x14ac:dyDescent="0.3">
      <c r="A15" s="1" t="s">
        <v>6</v>
      </c>
      <c r="B15" s="1" t="s">
        <v>10</v>
      </c>
      <c r="C15" s="1">
        <v>4.282</v>
      </c>
      <c r="D15" s="1">
        <v>4.282</v>
      </c>
      <c r="E15" s="4">
        <f t="shared" si="3"/>
        <v>3.1467711533827533E-2</v>
      </c>
      <c r="G15" s="4" t="s">
        <v>84</v>
      </c>
      <c r="H15" s="4"/>
    </row>
    <row r="16" spans="1:10" ht="13.8" customHeight="1" x14ac:dyDescent="0.3">
      <c r="A16" s="1" t="s">
        <v>5</v>
      </c>
      <c r="B16" s="1" t="s">
        <v>10</v>
      </c>
      <c r="C16" s="1">
        <v>0.40200000000000002</v>
      </c>
      <c r="D16" s="1">
        <v>0.40200000000000002</v>
      </c>
      <c r="E16" s="4">
        <f t="shared" si="3"/>
        <v>2.9542316759922156E-3</v>
      </c>
      <c r="G16" s="4" t="s">
        <v>87</v>
      </c>
      <c r="H16" s="4"/>
    </row>
    <row r="17" spans="1:8" ht="13.8" customHeight="1" x14ac:dyDescent="0.3">
      <c r="A17" s="1" t="s">
        <v>15</v>
      </c>
      <c r="B17" s="1" t="s">
        <v>10</v>
      </c>
      <c r="C17" s="1">
        <v>15.456</v>
      </c>
      <c r="D17" s="1">
        <v>15.456</v>
      </c>
      <c r="E17" s="4">
        <f t="shared" si="3"/>
        <v>0.11358359399038725</v>
      </c>
      <c r="G17" s="4"/>
      <c r="H17" s="4"/>
    </row>
    <row r="18" spans="1:8" ht="13.8" customHeight="1" x14ac:dyDescent="0.3">
      <c r="A18" s="1" t="s">
        <v>4</v>
      </c>
      <c r="B18" s="1" t="s">
        <v>10</v>
      </c>
      <c r="C18" s="1">
        <v>451.23200000000003</v>
      </c>
      <c r="D18" s="1">
        <v>451.23200000000003</v>
      </c>
      <c r="E18" s="4">
        <f t="shared" si="3"/>
        <v>3.3160295214460684</v>
      </c>
      <c r="G18" s="4"/>
      <c r="H18" s="4"/>
    </row>
    <row r="19" spans="1:8" ht="13.8" customHeight="1" x14ac:dyDescent="0.3">
      <c r="A19" s="1" t="s">
        <v>16</v>
      </c>
      <c r="B19" s="1" t="s">
        <v>10</v>
      </c>
      <c r="C19" s="1">
        <v>0.06</v>
      </c>
      <c r="D19" s="1">
        <v>0.06</v>
      </c>
      <c r="E19" s="4">
        <f t="shared" si="3"/>
        <v>4.4093010089436043E-4</v>
      </c>
      <c r="G19" s="4"/>
      <c r="H19" s="4"/>
    </row>
    <row r="20" spans="1:8" ht="13.8" customHeight="1" x14ac:dyDescent="0.3">
      <c r="A20" s="1" t="s">
        <v>17</v>
      </c>
      <c r="B20" s="1" t="s">
        <v>10</v>
      </c>
      <c r="C20" s="1">
        <v>5045.4759999999997</v>
      </c>
      <c r="D20" s="1">
        <v>5045.4759999999997</v>
      </c>
      <c r="E20" s="4">
        <f t="shared" si="3"/>
        <v>37.078370695667907</v>
      </c>
      <c r="G20" s="4"/>
      <c r="H20" s="4"/>
    </row>
    <row r="21" spans="1:8" ht="13.8" customHeight="1" x14ac:dyDescent="0.3">
      <c r="A21" s="1" t="s">
        <v>18</v>
      </c>
      <c r="B21" s="1" t="s">
        <v>10</v>
      </c>
      <c r="C21" s="1">
        <v>5363.7889999999998</v>
      </c>
      <c r="D21" s="1">
        <v>5363.7889999999998</v>
      </c>
      <c r="E21" s="4">
        <f t="shared" si="3"/>
        <v>39.417600415767687</v>
      </c>
      <c r="G21" s="4"/>
      <c r="H21" s="4"/>
    </row>
    <row r="22" spans="1:8" ht="13.8" customHeight="1" x14ac:dyDescent="0.3">
      <c r="A22" s="1" t="s">
        <v>19</v>
      </c>
      <c r="B22" s="1" t="s">
        <v>10</v>
      </c>
      <c r="C22" s="1">
        <v>22.312999999999999</v>
      </c>
      <c r="D22" s="1">
        <v>22.312999999999999</v>
      </c>
      <c r="E22" s="4">
        <f t="shared" si="3"/>
        <v>0.16397455568759775</v>
      </c>
      <c r="G22" s="4"/>
      <c r="H22" s="4"/>
    </row>
    <row r="23" spans="1:8" ht="13.8" customHeight="1" x14ac:dyDescent="0.3">
      <c r="A23" s="1" t="s">
        <v>20</v>
      </c>
      <c r="B23" s="1" t="s">
        <v>10</v>
      </c>
      <c r="C23" s="1">
        <v>741.66399999999999</v>
      </c>
      <c r="D23" s="1">
        <v>741.66399999999999</v>
      </c>
      <c r="E23" s="4">
        <f t="shared" si="3"/>
        <v>5.4503663724952496</v>
      </c>
      <c r="G23" s="4"/>
      <c r="H23" s="4"/>
    </row>
    <row r="24" spans="1:8" ht="13.8" customHeight="1" x14ac:dyDescent="0.3">
      <c r="A24" s="1" t="s">
        <v>21</v>
      </c>
      <c r="B24" s="1" t="s">
        <v>10</v>
      </c>
      <c r="C24" s="1">
        <v>183.108</v>
      </c>
      <c r="D24" s="1">
        <v>183.108</v>
      </c>
      <c r="E24" s="4">
        <f t="shared" si="3"/>
        <v>1.3456304819094094</v>
      </c>
    </row>
    <row r="25" spans="1:8" ht="13.8" customHeight="1" x14ac:dyDescent="0.3">
      <c r="A25" s="1" t="s">
        <v>22</v>
      </c>
      <c r="B25" s="1" t="s">
        <v>10</v>
      </c>
      <c r="C25" s="1">
        <v>10.298</v>
      </c>
      <c r="D25" s="1">
        <v>10.298</v>
      </c>
      <c r="E25" s="4">
        <f t="shared" si="3"/>
        <v>7.5678302983502074E-2</v>
      </c>
    </row>
    <row r="26" spans="1:8" ht="13.8" customHeight="1" x14ac:dyDescent="0.3">
      <c r="A26" s="1" t="s">
        <v>9</v>
      </c>
      <c r="B26" s="1" t="s">
        <v>10</v>
      </c>
      <c r="C26" s="1">
        <v>120.343</v>
      </c>
      <c r="D26" s="1">
        <v>120.343</v>
      </c>
      <c r="E26" s="4">
        <f t="shared" si="3"/>
        <v>0.88438085219883378</v>
      </c>
    </row>
    <row r="27" spans="1:8" ht="13.8" customHeight="1" x14ac:dyDescent="0.3">
      <c r="A27" s="1" t="s">
        <v>28</v>
      </c>
      <c r="B27" s="1" t="s">
        <v>32</v>
      </c>
      <c r="C27" s="1">
        <v>560.476</v>
      </c>
      <c r="D27" s="1">
        <v>560.476</v>
      </c>
      <c r="E27" s="4">
        <f t="shared" si="3"/>
        <v>1.5237963702187143</v>
      </c>
    </row>
    <row r="28" spans="1:8" ht="13.8" customHeight="1" x14ac:dyDescent="0.3">
      <c r="A28" s="1" t="s">
        <v>11</v>
      </c>
      <c r="B28" s="1" t="s">
        <v>32</v>
      </c>
      <c r="C28" s="1">
        <v>432.30599999999998</v>
      </c>
      <c r="D28" s="1">
        <v>432.30599999999998</v>
      </c>
      <c r="E28" s="4">
        <f t="shared" si="3"/>
        <v>1.1753336692807033</v>
      </c>
    </row>
    <row r="29" spans="1:8" ht="13.8" customHeight="1" x14ac:dyDescent="0.3">
      <c r="A29" s="1" t="s">
        <v>29</v>
      </c>
      <c r="B29" s="1" t="s">
        <v>32</v>
      </c>
      <c r="C29" s="1">
        <v>3449.029</v>
      </c>
      <c r="D29" s="1">
        <v>3449.029</v>
      </c>
      <c r="E29" s="4">
        <f t="shared" si="3"/>
        <v>9.3770614102639218</v>
      </c>
    </row>
    <row r="30" spans="1:8" ht="13.8" customHeight="1" x14ac:dyDescent="0.3">
      <c r="A30" s="1" t="s">
        <v>15</v>
      </c>
      <c r="B30" s="1" t="s">
        <v>32</v>
      </c>
      <c r="C30" s="1">
        <v>13.063000000000001</v>
      </c>
      <c r="D30" s="1">
        <v>13.063000000000001</v>
      </c>
      <c r="E30" s="4">
        <f t="shared" si="3"/>
        <v>3.5515083579255959E-2</v>
      </c>
    </row>
    <row r="31" spans="1:8" ht="13.8" customHeight="1" x14ac:dyDescent="0.3">
      <c r="A31" s="1" t="s">
        <v>7</v>
      </c>
      <c r="B31" s="1" t="s">
        <v>32</v>
      </c>
      <c r="C31" s="1">
        <v>529.52700000000004</v>
      </c>
      <c r="D31" s="1">
        <v>529.52700000000004</v>
      </c>
      <c r="E31" s="4">
        <f t="shared" si="3"/>
        <v>1.4396536524896788</v>
      </c>
    </row>
    <row r="32" spans="1:8" ht="13.8" customHeight="1" x14ac:dyDescent="0.3">
      <c r="A32" s="1" t="s">
        <v>12</v>
      </c>
      <c r="B32" s="1" t="s">
        <v>32</v>
      </c>
      <c r="C32" s="1">
        <v>88.025000000000006</v>
      </c>
      <c r="D32" s="1">
        <v>88.025000000000006</v>
      </c>
      <c r="E32" s="4">
        <f t="shared" si="3"/>
        <v>0.23931832137058917</v>
      </c>
    </row>
    <row r="33" spans="1:5" ht="13.8" customHeight="1" x14ac:dyDescent="0.3">
      <c r="A33" s="1" t="s">
        <v>4</v>
      </c>
      <c r="B33" s="1" t="s">
        <v>32</v>
      </c>
      <c r="C33" s="1">
        <v>177.191</v>
      </c>
      <c r="D33" s="1">
        <v>177.191</v>
      </c>
      <c r="E33" s="4">
        <f t="shared" si="3"/>
        <v>0.48173874106192627</v>
      </c>
    </row>
    <row r="34" spans="1:5" ht="13.8" customHeight="1" x14ac:dyDescent="0.3">
      <c r="A34" s="1" t="s">
        <v>13</v>
      </c>
      <c r="B34" s="1" t="s">
        <v>32</v>
      </c>
      <c r="C34" s="1">
        <v>325.91000000000003</v>
      </c>
      <c r="D34" s="1">
        <v>325.91000000000003</v>
      </c>
      <c r="E34" s="4">
        <f t="shared" si="3"/>
        <v>0.88606911806746613</v>
      </c>
    </row>
    <row r="35" spans="1:5" ht="13.8" customHeight="1" x14ac:dyDescent="0.3">
      <c r="A35" s="1" t="s">
        <v>17</v>
      </c>
      <c r="B35" s="1" t="s">
        <v>32</v>
      </c>
      <c r="C35" s="1">
        <v>19993.378000000001</v>
      </c>
      <c r="D35" s="1">
        <v>19993.378000000001</v>
      </c>
      <c r="E35" s="4">
        <f t="shared" si="3"/>
        <v>54.357076529254954</v>
      </c>
    </row>
    <row r="36" spans="1:5" ht="13.8" customHeight="1" x14ac:dyDescent="0.3">
      <c r="A36" s="1" t="s">
        <v>18</v>
      </c>
      <c r="B36" s="1" t="s">
        <v>32</v>
      </c>
      <c r="C36" s="1">
        <v>9582.7870000000003</v>
      </c>
      <c r="D36" s="1">
        <v>9582.7870000000003</v>
      </c>
      <c r="E36" s="4">
        <f t="shared" si="3"/>
        <v>26.053240544071617</v>
      </c>
    </row>
    <row r="37" spans="1:5" ht="13.8" customHeight="1" x14ac:dyDescent="0.3">
      <c r="A37" s="1" t="s">
        <v>5</v>
      </c>
      <c r="B37" s="1" t="s">
        <v>32</v>
      </c>
      <c r="C37" s="1">
        <v>9.6820000000000004</v>
      </c>
      <c r="D37" s="1">
        <v>9.6820000000000004</v>
      </c>
      <c r="E37" s="4">
        <f t="shared" si="3"/>
        <v>2.6322976285260369E-2</v>
      </c>
    </row>
    <row r="38" spans="1:5" ht="13.8" customHeight="1" x14ac:dyDescent="0.3">
      <c r="A38" s="1" t="s">
        <v>21</v>
      </c>
      <c r="B38" s="1" t="s">
        <v>32</v>
      </c>
      <c r="C38" s="1">
        <v>301.529</v>
      </c>
      <c r="D38" s="1">
        <v>301.529</v>
      </c>
      <c r="E38" s="4">
        <f t="shared" si="3"/>
        <v>0.81978317664927436</v>
      </c>
    </row>
    <row r="39" spans="1:5" ht="13.8" customHeight="1" x14ac:dyDescent="0.3">
      <c r="A39" s="1" t="s">
        <v>33</v>
      </c>
      <c r="B39" s="1" t="s">
        <v>32</v>
      </c>
      <c r="C39" s="1">
        <v>31.817</v>
      </c>
      <c r="D39" s="1">
        <v>31.817</v>
      </c>
      <c r="E39" s="4">
        <f t="shared" si="3"/>
        <v>8.6502596206169097E-2</v>
      </c>
    </row>
    <row r="40" spans="1:5" ht="13.8" customHeight="1" x14ac:dyDescent="0.3">
      <c r="A40" s="1" t="s">
        <v>34</v>
      </c>
      <c r="B40" s="1" t="s">
        <v>32</v>
      </c>
      <c r="C40" s="1">
        <v>327.49599999999998</v>
      </c>
      <c r="D40" s="1">
        <v>327.49599999999998</v>
      </c>
      <c r="E40" s="4">
        <f t="shared" si="3"/>
        <v>0.89038106192084587</v>
      </c>
    </row>
    <row r="41" spans="1:5" ht="13.8" customHeight="1" x14ac:dyDescent="0.3">
      <c r="A41" s="1" t="s">
        <v>19</v>
      </c>
      <c r="B41" s="1" t="s">
        <v>32</v>
      </c>
      <c r="C41" s="1">
        <v>959.33900000000006</v>
      </c>
      <c r="D41" s="1">
        <v>959.33900000000006</v>
      </c>
      <c r="E41" s="4">
        <f t="shared" ref="E41:E72" si="4">C41/VLOOKUP(B41,$G$1:$J$10,2,FALSE)*100</f>
        <v>2.6082067492796321</v>
      </c>
    </row>
    <row r="42" spans="1:5" ht="13.8" customHeight="1" x14ac:dyDescent="0.3">
      <c r="A42" s="1" t="s">
        <v>6</v>
      </c>
      <c r="B42" s="1" t="s">
        <v>35</v>
      </c>
      <c r="C42" s="1">
        <v>1505.5809999999999</v>
      </c>
      <c r="D42" s="1">
        <v>1505.5809999999999</v>
      </c>
      <c r="E42" s="4">
        <f t="shared" si="4"/>
        <v>1.1681068663687044</v>
      </c>
    </row>
    <row r="43" spans="1:5" ht="13.8" customHeight="1" x14ac:dyDescent="0.3">
      <c r="A43" s="1" t="s">
        <v>14</v>
      </c>
      <c r="B43" s="1" t="s">
        <v>35</v>
      </c>
      <c r="C43" s="1">
        <v>180.45699999999999</v>
      </c>
      <c r="D43" s="1">
        <v>180.45699999999999</v>
      </c>
      <c r="E43" s="4">
        <f t="shared" si="4"/>
        <v>0.14000778489121296</v>
      </c>
    </row>
    <row r="44" spans="1:5" ht="13.8" customHeight="1" x14ac:dyDescent="0.3">
      <c r="A44" s="1" t="s">
        <v>7</v>
      </c>
      <c r="B44" s="1" t="s">
        <v>35</v>
      </c>
      <c r="C44" s="1">
        <v>2369.2020000000002</v>
      </c>
      <c r="D44" s="1">
        <v>2369.2020000000002</v>
      </c>
      <c r="E44" s="4">
        <f t="shared" si="4"/>
        <v>1.8381482789796548</v>
      </c>
    </row>
    <row r="45" spans="1:5" ht="13.8" customHeight="1" x14ac:dyDescent="0.3">
      <c r="A45" s="1" t="s">
        <v>12</v>
      </c>
      <c r="B45" s="1" t="s">
        <v>35</v>
      </c>
      <c r="C45" s="1">
        <v>866.07100000000003</v>
      </c>
      <c r="D45" s="1">
        <v>866.07100000000003</v>
      </c>
      <c r="E45" s="4">
        <f t="shared" si="4"/>
        <v>0.67194224811737813</v>
      </c>
    </row>
    <row r="46" spans="1:5" ht="13.8" customHeight="1" x14ac:dyDescent="0.3">
      <c r="A46" s="1" t="s">
        <v>11</v>
      </c>
      <c r="B46" s="1" t="s">
        <v>35</v>
      </c>
      <c r="C46" s="1">
        <v>4419.4579999999996</v>
      </c>
      <c r="D46" s="1">
        <v>4419.4579999999996</v>
      </c>
      <c r="E46" s="4">
        <f t="shared" si="4"/>
        <v>3.4288419124763805</v>
      </c>
    </row>
    <row r="47" spans="1:5" ht="13.8" customHeight="1" x14ac:dyDescent="0.3">
      <c r="A47" s="1" t="s">
        <v>4</v>
      </c>
      <c r="B47" s="1" t="s">
        <v>35</v>
      </c>
      <c r="C47" s="1">
        <v>967.45799999999997</v>
      </c>
      <c r="D47" s="1">
        <v>967.45799999999997</v>
      </c>
      <c r="E47" s="4">
        <f t="shared" si="4"/>
        <v>0.75060347648073011</v>
      </c>
    </row>
    <row r="48" spans="1:5" ht="13.8" customHeight="1" x14ac:dyDescent="0.3">
      <c r="A48" s="1" t="s">
        <v>15</v>
      </c>
      <c r="B48" s="1" t="s">
        <v>35</v>
      </c>
      <c r="C48" s="1">
        <v>2026.404</v>
      </c>
      <c r="D48" s="1">
        <v>2026.404</v>
      </c>
      <c r="E48" s="4">
        <f t="shared" si="4"/>
        <v>1.5721880300276163</v>
      </c>
    </row>
    <row r="49" spans="1:5" ht="13.8" customHeight="1" x14ac:dyDescent="0.3">
      <c r="A49" s="1" t="s">
        <v>5</v>
      </c>
      <c r="B49" s="1" t="s">
        <v>35</v>
      </c>
      <c r="C49" s="1">
        <v>1853.9079999999999</v>
      </c>
      <c r="D49" s="1">
        <v>1853.9079999999999</v>
      </c>
      <c r="E49" s="4">
        <f t="shared" si="4"/>
        <v>1.4383567967554534</v>
      </c>
    </row>
    <row r="50" spans="1:5" ht="13.8" customHeight="1" x14ac:dyDescent="0.3">
      <c r="A50" s="1" t="s">
        <v>17</v>
      </c>
      <c r="B50" s="1" t="s">
        <v>35</v>
      </c>
      <c r="C50" s="1">
        <v>32493.788</v>
      </c>
      <c r="D50" s="1">
        <v>32493.788</v>
      </c>
      <c r="E50" s="4">
        <f t="shared" si="4"/>
        <v>25.210345293364501</v>
      </c>
    </row>
    <row r="51" spans="1:5" ht="13.8" customHeight="1" x14ac:dyDescent="0.3">
      <c r="A51" s="1" t="s">
        <v>34</v>
      </c>
      <c r="B51" s="1" t="s">
        <v>35</v>
      </c>
      <c r="C51" s="1">
        <v>1455.16</v>
      </c>
      <c r="D51" s="1">
        <v>1455.16</v>
      </c>
      <c r="E51" s="4">
        <f t="shared" si="4"/>
        <v>1.1289876716464171</v>
      </c>
    </row>
    <row r="52" spans="1:5" ht="13.8" customHeight="1" x14ac:dyDescent="0.3">
      <c r="A52" s="1" t="s">
        <v>18</v>
      </c>
      <c r="B52" s="1" t="s">
        <v>35</v>
      </c>
      <c r="C52" s="1">
        <v>24219.288</v>
      </c>
      <c r="D52" s="1">
        <v>24219.288</v>
      </c>
      <c r="E52" s="4">
        <f t="shared" si="4"/>
        <v>18.790564314614205</v>
      </c>
    </row>
    <row r="53" spans="1:5" ht="13.8" customHeight="1" x14ac:dyDescent="0.3">
      <c r="A53" s="1" t="s">
        <v>21</v>
      </c>
      <c r="B53" s="1" t="s">
        <v>35</v>
      </c>
      <c r="C53" s="1">
        <v>41851.046999999897</v>
      </c>
      <c r="D53" s="1">
        <v>41851.046999999897</v>
      </c>
      <c r="E53" s="4">
        <f t="shared" si="4"/>
        <v>32.470186170932855</v>
      </c>
    </row>
    <row r="54" spans="1:5" ht="13.8" customHeight="1" x14ac:dyDescent="0.3">
      <c r="A54" s="1" t="s">
        <v>13</v>
      </c>
      <c r="B54" s="1" t="s">
        <v>35</v>
      </c>
      <c r="C54" s="1">
        <v>188.333</v>
      </c>
      <c r="D54" s="1">
        <v>188.333</v>
      </c>
      <c r="E54" s="4">
        <f t="shared" si="4"/>
        <v>0.14611838915595854</v>
      </c>
    </row>
    <row r="55" spans="1:5" ht="13.8" customHeight="1" x14ac:dyDescent="0.3">
      <c r="A55" s="1" t="s">
        <v>19</v>
      </c>
      <c r="B55" s="1" t="s">
        <v>35</v>
      </c>
      <c r="C55" s="1">
        <v>12492.135</v>
      </c>
      <c r="D55" s="1">
        <v>12492.135</v>
      </c>
      <c r="E55" s="4">
        <f t="shared" si="4"/>
        <v>9.6920382690169546</v>
      </c>
    </row>
    <row r="56" spans="1:5" ht="13.8" customHeight="1" x14ac:dyDescent="0.3">
      <c r="A56" s="1" t="s">
        <v>33</v>
      </c>
      <c r="B56" s="1" t="s">
        <v>35</v>
      </c>
      <c r="C56" s="1">
        <v>236.59899999999999</v>
      </c>
      <c r="D56" s="1">
        <v>236.59899999999999</v>
      </c>
      <c r="E56" s="4">
        <f t="shared" si="4"/>
        <v>0.18356562448381661</v>
      </c>
    </row>
    <row r="57" spans="1:5" ht="13.8" customHeight="1" x14ac:dyDescent="0.3">
      <c r="A57" s="1" t="s">
        <v>28</v>
      </c>
      <c r="B57" s="1" t="s">
        <v>35</v>
      </c>
      <c r="C57" s="1">
        <v>27.795999999999999</v>
      </c>
      <c r="D57" s="1">
        <v>27.795999999999999</v>
      </c>
      <c r="E57" s="4">
        <f t="shared" si="4"/>
        <v>2.1565560708845629E-2</v>
      </c>
    </row>
    <row r="58" spans="1:5" ht="13.8" customHeight="1" x14ac:dyDescent="0.3">
      <c r="A58" s="1" t="s">
        <v>36</v>
      </c>
      <c r="B58" s="1" t="s">
        <v>35</v>
      </c>
      <c r="C58" s="1">
        <v>9.1999999999999998E-2</v>
      </c>
      <c r="D58" s="1">
        <v>9.1999999999999998E-2</v>
      </c>
      <c r="E58" s="4">
        <f t="shared" si="4"/>
        <v>7.1378312894437973E-5</v>
      </c>
    </row>
    <row r="59" spans="1:5" ht="13.8" customHeight="1" x14ac:dyDescent="0.3">
      <c r="A59" s="1" t="s">
        <v>22</v>
      </c>
      <c r="B59" s="1" t="s">
        <v>35</v>
      </c>
      <c r="C59" s="1">
        <v>695.36</v>
      </c>
      <c r="D59" s="1">
        <v>695.36</v>
      </c>
      <c r="E59" s="4">
        <f t="shared" si="4"/>
        <v>0.53949590928561297</v>
      </c>
    </row>
    <row r="60" spans="1:5" ht="13.8" customHeight="1" x14ac:dyDescent="0.3">
      <c r="A60" s="1" t="s">
        <v>9</v>
      </c>
      <c r="B60" s="1" t="s">
        <v>35</v>
      </c>
      <c r="C60" s="1">
        <v>1012.922</v>
      </c>
      <c r="D60" s="1">
        <v>1012.922</v>
      </c>
      <c r="E60" s="4">
        <f t="shared" si="4"/>
        <v>0.78587677667021627</v>
      </c>
    </row>
    <row r="61" spans="1:5" ht="13.8" customHeight="1" x14ac:dyDescent="0.3">
      <c r="A61" s="1" t="s">
        <v>27</v>
      </c>
      <c r="B61" s="1" t="s">
        <v>35</v>
      </c>
      <c r="C61" s="1">
        <v>24.093</v>
      </c>
      <c r="D61" s="1">
        <v>24.093</v>
      </c>
      <c r="E61" s="4">
        <f t="shared" si="4"/>
        <v>1.86925836148445E-2</v>
      </c>
    </row>
    <row r="62" spans="1:5" ht="13.8" customHeight="1" x14ac:dyDescent="0.3">
      <c r="A62" s="1" t="s">
        <v>37</v>
      </c>
      <c r="B62" s="1" t="s">
        <v>35</v>
      </c>
      <c r="C62" s="1">
        <v>0.112</v>
      </c>
      <c r="D62" s="1">
        <v>0.112</v>
      </c>
      <c r="E62" s="4">
        <f t="shared" si="4"/>
        <v>8.689533743670709E-5</v>
      </c>
    </row>
    <row r="63" spans="1:5" ht="13.8" customHeight="1" x14ac:dyDescent="0.3">
      <c r="A63" s="1" t="s">
        <v>38</v>
      </c>
      <c r="B63" s="1" t="s">
        <v>35</v>
      </c>
      <c r="C63" s="1">
        <v>5.4260000000000002</v>
      </c>
      <c r="D63" s="1">
        <v>5.4260000000000002</v>
      </c>
      <c r="E63" s="4">
        <f t="shared" si="4"/>
        <v>4.2097687583176136E-3</v>
      </c>
    </row>
    <row r="64" spans="1:5" ht="13.8" customHeight="1" x14ac:dyDescent="0.3">
      <c r="A64" s="1" t="s">
        <v>6</v>
      </c>
      <c r="B64" s="1" t="s">
        <v>39</v>
      </c>
      <c r="C64" s="1">
        <v>1105.038</v>
      </c>
      <c r="D64" s="1">
        <v>1105.038</v>
      </c>
      <c r="E64" s="4">
        <f t="shared" si="4"/>
        <v>0.70446827778780297</v>
      </c>
    </row>
    <row r="65" spans="1:5" ht="13.8" customHeight="1" x14ac:dyDescent="0.3">
      <c r="A65" s="1" t="s">
        <v>12</v>
      </c>
      <c r="B65" s="1" t="s">
        <v>39</v>
      </c>
      <c r="C65" s="1">
        <v>2962.4029999999998</v>
      </c>
      <c r="D65" s="1">
        <v>2962.4029999999998</v>
      </c>
      <c r="E65" s="4">
        <f t="shared" si="4"/>
        <v>1.8885494793151194</v>
      </c>
    </row>
    <row r="66" spans="1:5" ht="13.8" customHeight="1" x14ac:dyDescent="0.3">
      <c r="A66" s="1" t="s">
        <v>11</v>
      </c>
      <c r="B66" s="1" t="s">
        <v>39</v>
      </c>
      <c r="C66" s="1">
        <v>253.79400000000001</v>
      </c>
      <c r="D66" s="1">
        <v>253.79400000000001</v>
      </c>
      <c r="E66" s="4">
        <f t="shared" si="4"/>
        <v>0.16179517997831538</v>
      </c>
    </row>
    <row r="67" spans="1:5" ht="13.8" customHeight="1" x14ac:dyDescent="0.3">
      <c r="A67" s="1" t="s">
        <v>13</v>
      </c>
      <c r="B67" s="1" t="s">
        <v>39</v>
      </c>
      <c r="C67" s="1">
        <v>719.327</v>
      </c>
      <c r="D67" s="1">
        <v>719.327</v>
      </c>
      <c r="E67" s="4">
        <f t="shared" si="4"/>
        <v>0.45857522805212758</v>
      </c>
    </row>
    <row r="68" spans="1:5" ht="13.8" customHeight="1" x14ac:dyDescent="0.3">
      <c r="A68" s="1" t="s">
        <v>5</v>
      </c>
      <c r="B68" s="1" t="s">
        <v>39</v>
      </c>
      <c r="C68" s="1">
        <v>132.22399999999999</v>
      </c>
      <c r="D68" s="1">
        <v>132.22399999999999</v>
      </c>
      <c r="E68" s="4">
        <f t="shared" si="4"/>
        <v>8.4293584077845693E-2</v>
      </c>
    </row>
    <row r="69" spans="1:5" ht="13.8" customHeight="1" x14ac:dyDescent="0.3">
      <c r="A69" s="1" t="s">
        <v>14</v>
      </c>
      <c r="B69" s="1" t="s">
        <v>39</v>
      </c>
      <c r="C69" s="1">
        <v>1673.5409999999999</v>
      </c>
      <c r="D69" s="1">
        <v>1673.5409999999999</v>
      </c>
      <c r="E69" s="4">
        <f t="shared" si="4"/>
        <v>1.0668923114655582</v>
      </c>
    </row>
    <row r="70" spans="1:5" ht="13.8" customHeight="1" x14ac:dyDescent="0.3">
      <c r="A70" s="1" t="s">
        <v>7</v>
      </c>
      <c r="B70" s="1" t="s">
        <v>39</v>
      </c>
      <c r="C70" s="1">
        <v>1213.787</v>
      </c>
      <c r="D70" s="1">
        <v>1213.787</v>
      </c>
      <c r="E70" s="4">
        <f t="shared" si="4"/>
        <v>0.77379641016075829</v>
      </c>
    </row>
    <row r="71" spans="1:5" ht="13.8" customHeight="1" x14ac:dyDescent="0.3">
      <c r="A71" s="1" t="s">
        <v>15</v>
      </c>
      <c r="B71" s="1" t="s">
        <v>39</v>
      </c>
      <c r="C71" s="1">
        <v>16.975999999999999</v>
      </c>
      <c r="D71" s="1">
        <v>16.975999999999999</v>
      </c>
      <c r="E71" s="4">
        <f t="shared" si="4"/>
        <v>1.0822300666335223E-2</v>
      </c>
    </row>
    <row r="72" spans="1:5" ht="13.8" customHeight="1" x14ac:dyDescent="0.3">
      <c r="A72" s="1" t="s">
        <v>4</v>
      </c>
      <c r="B72" s="1" t="s">
        <v>39</v>
      </c>
      <c r="C72" s="1">
        <v>534.21299999999997</v>
      </c>
      <c r="D72" s="1">
        <v>534.21299999999997</v>
      </c>
      <c r="E72" s="4">
        <f t="shared" si="4"/>
        <v>0.34056395534077155</v>
      </c>
    </row>
    <row r="73" spans="1:5" ht="13.8" customHeight="1" x14ac:dyDescent="0.3">
      <c r="A73" s="1" t="s">
        <v>34</v>
      </c>
      <c r="B73" s="1" t="s">
        <v>39</v>
      </c>
      <c r="C73" s="1">
        <v>21.596</v>
      </c>
      <c r="D73" s="1">
        <v>21.596</v>
      </c>
      <c r="E73" s="4">
        <f t="shared" ref="E73:E102" si="5">C73/VLOOKUP(B73,$G$1:$J$10,2,FALSE)*100</f>
        <v>1.3767578062569246E-2</v>
      </c>
    </row>
    <row r="74" spans="1:5" ht="13.8" customHeight="1" x14ac:dyDescent="0.3">
      <c r="A74" s="1" t="s">
        <v>17</v>
      </c>
      <c r="B74" s="1" t="s">
        <v>39</v>
      </c>
      <c r="C74" s="1">
        <v>26788.695</v>
      </c>
      <c r="D74" s="1">
        <v>26788.695</v>
      </c>
      <c r="E74" s="4">
        <f t="shared" si="5"/>
        <v>17.077951917339249</v>
      </c>
    </row>
    <row r="75" spans="1:5" ht="13.8" customHeight="1" x14ac:dyDescent="0.3">
      <c r="A75" s="1" t="s">
        <v>18</v>
      </c>
      <c r="B75" s="1" t="s">
        <v>39</v>
      </c>
      <c r="C75" s="1">
        <v>33793.953999999998</v>
      </c>
      <c r="D75" s="1">
        <v>33793.953999999998</v>
      </c>
      <c r="E75" s="4">
        <f t="shared" si="5"/>
        <v>21.543846070470185</v>
      </c>
    </row>
    <row r="76" spans="1:5" ht="13.8" customHeight="1" x14ac:dyDescent="0.3">
      <c r="A76" s="1" t="s">
        <v>21</v>
      </c>
      <c r="B76" s="1" t="s">
        <v>39</v>
      </c>
      <c r="C76" s="1">
        <v>758.90599999999995</v>
      </c>
      <c r="D76" s="1">
        <v>758.90599999999995</v>
      </c>
      <c r="E76" s="4">
        <f t="shared" si="5"/>
        <v>0.48380707525246225</v>
      </c>
    </row>
    <row r="77" spans="1:5" ht="13.8" customHeight="1" x14ac:dyDescent="0.3">
      <c r="A77" s="1" t="s">
        <v>33</v>
      </c>
      <c r="B77" s="1" t="s">
        <v>39</v>
      </c>
      <c r="C77" s="1">
        <v>1619.848</v>
      </c>
      <c r="D77" s="1">
        <v>1619.848</v>
      </c>
      <c r="E77" s="4">
        <f t="shared" si="5"/>
        <v>1.0326627055703217</v>
      </c>
    </row>
    <row r="78" spans="1:5" ht="13.8" customHeight="1" x14ac:dyDescent="0.3">
      <c r="A78" s="1" t="s">
        <v>19</v>
      </c>
      <c r="B78" s="1" t="s">
        <v>39</v>
      </c>
      <c r="C78" s="1">
        <v>83526.822</v>
      </c>
      <c r="D78" s="1">
        <v>83526.822</v>
      </c>
      <c r="E78" s="4">
        <f t="shared" si="5"/>
        <v>53.24884433243777</v>
      </c>
    </row>
    <row r="79" spans="1:5" ht="13.8" customHeight="1" x14ac:dyDescent="0.3">
      <c r="A79" s="1" t="s">
        <v>27</v>
      </c>
      <c r="B79" s="1" t="s">
        <v>39</v>
      </c>
      <c r="C79" s="1">
        <v>3.2480000000000002</v>
      </c>
      <c r="D79" s="1">
        <v>3.2480000000000002</v>
      </c>
      <c r="E79" s="4">
        <f t="shared" si="5"/>
        <v>2.0706192603827055E-3</v>
      </c>
    </row>
    <row r="80" spans="1:5" ht="13.8" customHeight="1" x14ac:dyDescent="0.3">
      <c r="A80" s="1" t="s">
        <v>9</v>
      </c>
      <c r="B80" s="1" t="s">
        <v>39</v>
      </c>
      <c r="C80" s="1">
        <v>847.726</v>
      </c>
      <c r="D80" s="1">
        <v>847.726</v>
      </c>
      <c r="E80" s="4">
        <f t="shared" si="5"/>
        <v>0.54043035194802624</v>
      </c>
    </row>
    <row r="81" spans="1:5" ht="13.8" customHeight="1" x14ac:dyDescent="0.3">
      <c r="A81" s="1" t="s">
        <v>22</v>
      </c>
      <c r="B81" s="1" t="s">
        <v>39</v>
      </c>
      <c r="C81" s="1">
        <v>889.18799999999999</v>
      </c>
      <c r="D81" s="1">
        <v>889.18799999999999</v>
      </c>
      <c r="E81" s="4">
        <f t="shared" si="5"/>
        <v>0.56686262281440181</v>
      </c>
    </row>
    <row r="82" spans="1:5" ht="13.8" customHeight="1" x14ac:dyDescent="0.3">
      <c r="A82" s="1" t="s">
        <v>11</v>
      </c>
      <c r="B82" s="1" t="s">
        <v>40</v>
      </c>
      <c r="C82" s="1">
        <v>5149.6289999999999</v>
      </c>
      <c r="D82" s="1">
        <v>5149.6289999999999</v>
      </c>
      <c r="E82" s="4">
        <f t="shared" si="5"/>
        <v>2.6140668175899004</v>
      </c>
    </row>
    <row r="83" spans="1:5" ht="13.8" customHeight="1" x14ac:dyDescent="0.3">
      <c r="A83" s="1" t="s">
        <v>15</v>
      </c>
      <c r="B83" s="1" t="s">
        <v>40</v>
      </c>
      <c r="C83" s="1">
        <v>13.347</v>
      </c>
      <c r="D83" s="1">
        <v>13.347</v>
      </c>
      <c r="E83" s="4">
        <f t="shared" si="5"/>
        <v>6.7752356168517E-3</v>
      </c>
    </row>
    <row r="84" spans="1:5" ht="13.8" customHeight="1" x14ac:dyDescent="0.3">
      <c r="A84" s="1" t="s">
        <v>29</v>
      </c>
      <c r="B84" s="1" t="s">
        <v>40</v>
      </c>
      <c r="C84" s="1">
        <v>18159.050999999999</v>
      </c>
      <c r="D84" s="1">
        <v>18159.050999999999</v>
      </c>
      <c r="E84" s="4">
        <f t="shared" si="5"/>
        <v>9.2179402939556798</v>
      </c>
    </row>
    <row r="85" spans="1:5" ht="13.8" customHeight="1" x14ac:dyDescent="0.3">
      <c r="A85" s="1" t="s">
        <v>6</v>
      </c>
      <c r="B85" s="1" t="s">
        <v>40</v>
      </c>
      <c r="C85" s="1">
        <v>726.49599999999998</v>
      </c>
      <c r="D85" s="1">
        <v>726.49599999999998</v>
      </c>
      <c r="E85" s="4">
        <f t="shared" si="5"/>
        <v>0.36878561284935135</v>
      </c>
    </row>
    <row r="86" spans="1:5" ht="13.8" customHeight="1" x14ac:dyDescent="0.3">
      <c r="A86" s="1" t="s">
        <v>2</v>
      </c>
      <c r="B86" s="1" t="s">
        <v>40</v>
      </c>
      <c r="C86" s="1">
        <v>594.00199999999995</v>
      </c>
      <c r="D86" s="1">
        <v>594.00199999999995</v>
      </c>
      <c r="E86" s="4">
        <f t="shared" si="5"/>
        <v>0.30152869610258054</v>
      </c>
    </row>
    <row r="87" spans="1:5" ht="13.8" customHeight="1" x14ac:dyDescent="0.3">
      <c r="A87" s="1" t="s">
        <v>12</v>
      </c>
      <c r="B87" s="1" t="s">
        <v>40</v>
      </c>
      <c r="C87" s="1">
        <v>67.838999999999999</v>
      </c>
      <c r="D87" s="1">
        <v>67.838999999999999</v>
      </c>
      <c r="E87" s="4">
        <f t="shared" si="5"/>
        <v>3.4436593167873113E-2</v>
      </c>
    </row>
    <row r="88" spans="1:5" ht="13.8" customHeight="1" x14ac:dyDescent="0.3">
      <c r="A88" s="1" t="s">
        <v>17</v>
      </c>
      <c r="B88" s="1" t="s">
        <v>40</v>
      </c>
      <c r="C88" s="1">
        <v>40883.942999999999</v>
      </c>
      <c r="D88" s="1">
        <v>40883.942999999999</v>
      </c>
      <c r="E88" s="4">
        <f t="shared" si="5"/>
        <v>20.753603564166834</v>
      </c>
    </row>
    <row r="89" spans="1:5" ht="13.8" customHeight="1" x14ac:dyDescent="0.3">
      <c r="A89" s="1" t="s">
        <v>18</v>
      </c>
      <c r="B89" s="1" t="s">
        <v>40</v>
      </c>
      <c r="C89" s="1">
        <v>63556.855000000003</v>
      </c>
      <c r="D89" s="1">
        <v>63556.855000000003</v>
      </c>
      <c r="E89" s="4">
        <f t="shared" si="5"/>
        <v>32.262880624191133</v>
      </c>
    </row>
    <row r="90" spans="1:5" ht="13.8" customHeight="1" x14ac:dyDescent="0.3">
      <c r="A90" s="1" t="s">
        <v>34</v>
      </c>
      <c r="B90" s="1" t="s">
        <v>40</v>
      </c>
      <c r="C90" s="1">
        <v>13560.557000000001</v>
      </c>
      <c r="D90" s="1">
        <v>13560.557000000001</v>
      </c>
      <c r="E90" s="4">
        <f t="shared" si="5"/>
        <v>6.8836419248331184</v>
      </c>
    </row>
    <row r="91" spans="1:5" ht="13.8" customHeight="1" x14ac:dyDescent="0.3">
      <c r="A91" s="1" t="s">
        <v>20</v>
      </c>
      <c r="B91" s="1" t="s">
        <v>40</v>
      </c>
      <c r="C91" s="1">
        <v>15.047000000000001</v>
      </c>
      <c r="D91" s="1">
        <v>15.047000000000001</v>
      </c>
      <c r="E91" s="4">
        <f t="shared" si="5"/>
        <v>7.6381936260408734E-3</v>
      </c>
    </row>
    <row r="92" spans="1:5" ht="13.8" customHeight="1" x14ac:dyDescent="0.3">
      <c r="A92" s="1" t="s">
        <v>19</v>
      </c>
      <c r="B92" s="1" t="s">
        <v>40</v>
      </c>
      <c r="C92" s="1">
        <v>15262.342000000001</v>
      </c>
      <c r="D92" s="1">
        <v>15262.342000000001</v>
      </c>
      <c r="E92" s="4">
        <f t="shared" si="5"/>
        <v>7.74750603993194</v>
      </c>
    </row>
    <row r="93" spans="1:5" ht="13.8" customHeight="1" x14ac:dyDescent="0.3">
      <c r="A93" s="1" t="s">
        <v>27</v>
      </c>
      <c r="B93" s="1" t="s">
        <v>40</v>
      </c>
      <c r="C93" s="1">
        <v>2315.8310000000001</v>
      </c>
      <c r="D93" s="1">
        <v>2315.8310000000001</v>
      </c>
      <c r="E93" s="4">
        <f t="shared" si="5"/>
        <v>1.1755675937521006</v>
      </c>
    </row>
    <row r="94" spans="1:5" ht="13.8" customHeight="1" x14ac:dyDescent="0.3">
      <c r="A94" s="1" t="s">
        <v>21</v>
      </c>
      <c r="B94" s="1" t="s">
        <v>40</v>
      </c>
      <c r="C94" s="1">
        <v>1173.232</v>
      </c>
      <c r="D94" s="1">
        <v>1173.232</v>
      </c>
      <c r="E94" s="4">
        <f t="shared" si="5"/>
        <v>0.5955587947276656</v>
      </c>
    </row>
    <row r="95" spans="1:5" ht="13.8" customHeight="1" x14ac:dyDescent="0.3">
      <c r="A95" s="1" t="s">
        <v>22</v>
      </c>
      <c r="B95" s="1" t="s">
        <v>40</v>
      </c>
      <c r="C95" s="1">
        <v>551.86500000000001</v>
      </c>
      <c r="D95" s="1">
        <v>551.86500000000001</v>
      </c>
      <c r="E95" s="4">
        <f t="shared" si="5"/>
        <v>0.28013901278893111</v>
      </c>
    </row>
    <row r="96" spans="1:5" ht="13.8" customHeight="1" x14ac:dyDescent="0.3">
      <c r="A96" s="1" t="s">
        <v>9</v>
      </c>
      <c r="B96" s="1" t="s">
        <v>40</v>
      </c>
      <c r="C96" s="1">
        <v>1375.3</v>
      </c>
      <c r="D96" s="1">
        <v>1375.3</v>
      </c>
      <c r="E96" s="4">
        <f t="shared" si="5"/>
        <v>0.69813302943404076</v>
      </c>
    </row>
    <row r="97" spans="1:5" ht="13.8" customHeight="1" x14ac:dyDescent="0.3">
      <c r="A97" s="1" t="s">
        <v>7</v>
      </c>
      <c r="B97" s="1" t="s">
        <v>40</v>
      </c>
      <c r="C97" s="1">
        <v>144.268</v>
      </c>
      <c r="D97" s="1">
        <v>144.268</v>
      </c>
      <c r="E97" s="4">
        <f t="shared" si="5"/>
        <v>7.3233662393943286E-2</v>
      </c>
    </row>
    <row r="98" spans="1:5" ht="13.8" customHeight="1" x14ac:dyDescent="0.3">
      <c r="A98" s="1" t="s">
        <v>41</v>
      </c>
      <c r="B98" s="1" t="s">
        <v>40</v>
      </c>
      <c r="C98" s="1">
        <v>1398.711</v>
      </c>
      <c r="D98" s="1">
        <v>1398.711</v>
      </c>
      <c r="E98" s="4">
        <f t="shared" si="5"/>
        <v>0.71001697646529238</v>
      </c>
    </row>
    <row r="99" spans="1:5" ht="13.8" customHeight="1" x14ac:dyDescent="0.3">
      <c r="A99" s="1" t="s">
        <v>4</v>
      </c>
      <c r="B99" s="1" t="s">
        <v>40</v>
      </c>
      <c r="C99" s="1">
        <v>8.8999999999999996E-2</v>
      </c>
      <c r="D99" s="1">
        <v>8.8999999999999996E-2</v>
      </c>
      <c r="E99" s="4">
        <f t="shared" si="5"/>
        <v>4.5178389892844925E-5</v>
      </c>
    </row>
    <row r="100" spans="1:5" ht="13.8" customHeight="1" x14ac:dyDescent="0.3">
      <c r="A100" s="1" t="s">
        <v>42</v>
      </c>
      <c r="B100" s="1" t="s">
        <v>40</v>
      </c>
      <c r="C100" s="1">
        <v>29443.587</v>
      </c>
      <c r="D100" s="1">
        <v>29443.587</v>
      </c>
      <c r="E100" s="4">
        <f t="shared" si="5"/>
        <v>14.946223071122475</v>
      </c>
    </row>
    <row r="101" spans="1:5" ht="13.8" customHeight="1" x14ac:dyDescent="0.3">
      <c r="A101" s="1" t="s">
        <v>36</v>
      </c>
      <c r="B101" s="1" t="s">
        <v>40</v>
      </c>
      <c r="C101" s="1">
        <v>15.16</v>
      </c>
      <c r="D101" s="1">
        <v>15.16</v>
      </c>
      <c r="E101" s="4">
        <f t="shared" si="5"/>
        <v>7.6955549525340346E-3</v>
      </c>
    </row>
    <row r="102" spans="1:5" ht="13.8" customHeight="1" x14ac:dyDescent="0.3">
      <c r="A102" s="1" t="s">
        <v>28</v>
      </c>
      <c r="B102" s="1" t="s">
        <v>40</v>
      </c>
      <c r="C102" s="1">
        <v>2589.6880000000001</v>
      </c>
      <c r="D102" s="1">
        <v>2589.6880000000001</v>
      </c>
      <c r="E102" s="4">
        <f t="shared" si="5"/>
        <v>1.3145835299418178</v>
      </c>
    </row>
    <row r="103" spans="1:5" ht="13.8" customHeight="1" x14ac:dyDescent="0.3">
      <c r="A103" s="1" t="s">
        <v>6</v>
      </c>
      <c r="B103" s="1" t="s">
        <v>43</v>
      </c>
      <c r="C103" s="1">
        <v>16545.577000000001</v>
      </c>
      <c r="D103" s="4">
        <f>2*C103</f>
        <v>33091.154000000002</v>
      </c>
      <c r="E103" s="4">
        <f t="shared" ref="E103:E128" si="6">D103/VLOOKUP(B103,$G$1:$J$10,2,FALSE)*100</f>
        <v>26.807325498781537</v>
      </c>
    </row>
    <row r="104" spans="1:5" ht="13.8" customHeight="1" x14ac:dyDescent="0.3">
      <c r="A104" s="1" t="s">
        <v>13</v>
      </c>
      <c r="B104" s="1" t="s">
        <v>43</v>
      </c>
      <c r="C104" s="1">
        <v>488.15499999999997</v>
      </c>
      <c r="D104" s="4">
        <f>2*C104</f>
        <v>976.31</v>
      </c>
      <c r="E104" s="4">
        <f t="shared" si="6"/>
        <v>0.79091409014371039</v>
      </c>
    </row>
    <row r="105" spans="1:5" ht="13.8" customHeight="1" x14ac:dyDescent="0.3">
      <c r="A105" s="1" t="s">
        <v>2</v>
      </c>
      <c r="B105" s="1" t="s">
        <v>43</v>
      </c>
      <c r="C105" s="1">
        <v>35913.546000000002</v>
      </c>
      <c r="D105" s="4">
        <f>2*C105</f>
        <v>71827.092000000004</v>
      </c>
      <c r="E105" s="4">
        <f t="shared" si="6"/>
        <v>58.187521501212302</v>
      </c>
    </row>
    <row r="106" spans="1:5" ht="13.8" customHeight="1" x14ac:dyDescent="0.3">
      <c r="A106" s="1" t="s">
        <v>5</v>
      </c>
      <c r="B106" s="1" t="s">
        <v>43</v>
      </c>
      <c r="C106" s="1">
        <v>1342.6590000000001</v>
      </c>
      <c r="D106" s="4">
        <f>2*C106</f>
        <v>2685.3180000000002</v>
      </c>
      <c r="E106" s="4">
        <f t="shared" si="6"/>
        <v>2.1753908520004179</v>
      </c>
    </row>
    <row r="107" spans="1:5" ht="13.8" customHeight="1" x14ac:dyDescent="0.3">
      <c r="A107" s="1" t="s">
        <v>4</v>
      </c>
      <c r="B107" s="1" t="s">
        <v>43</v>
      </c>
      <c r="C107" s="1">
        <v>10271.915000000001</v>
      </c>
      <c r="D107" s="4">
        <f>C107</f>
        <v>10271.915000000001</v>
      </c>
      <c r="E107" s="4">
        <f t="shared" si="6"/>
        <v>8.3213347259154684</v>
      </c>
    </row>
    <row r="108" spans="1:5" ht="13.8" customHeight="1" x14ac:dyDescent="0.3">
      <c r="A108" s="1" t="s">
        <v>7</v>
      </c>
      <c r="B108" s="1" t="s">
        <v>43</v>
      </c>
      <c r="C108" s="1">
        <v>4498.5730000000003</v>
      </c>
      <c r="D108" s="4">
        <f>C108</f>
        <v>4498.5730000000003</v>
      </c>
      <c r="E108" s="4">
        <f t="shared" si="6"/>
        <v>3.644318680787928</v>
      </c>
    </row>
    <row r="109" spans="1:5" ht="13.8" customHeight="1" x14ac:dyDescent="0.3">
      <c r="A109" s="1" t="s">
        <v>8</v>
      </c>
      <c r="B109" s="1" t="s">
        <v>43</v>
      </c>
      <c r="C109" s="1">
        <v>0.10100000000000001</v>
      </c>
      <c r="D109" s="4">
        <f>2*C109</f>
        <v>0.20200000000000001</v>
      </c>
      <c r="E109" s="4">
        <f t="shared" si="6"/>
        <v>1.6364130881485337E-4</v>
      </c>
    </row>
    <row r="110" spans="1:5" ht="13.8" customHeight="1" x14ac:dyDescent="0.3">
      <c r="A110" s="1" t="s">
        <v>22</v>
      </c>
      <c r="B110" s="1" t="s">
        <v>43</v>
      </c>
      <c r="C110" s="1">
        <v>14.997</v>
      </c>
      <c r="D110" s="4">
        <f>2*C110</f>
        <v>29.994</v>
      </c>
      <c r="E110" s="4">
        <f t="shared" si="6"/>
        <v>2.4298304042538181E-2</v>
      </c>
    </row>
    <row r="111" spans="1:5" ht="13.8" customHeight="1" x14ac:dyDescent="0.3">
      <c r="A111" s="1" t="s">
        <v>9</v>
      </c>
      <c r="B111" s="1" t="s">
        <v>43</v>
      </c>
      <c r="C111" s="1">
        <v>30.077999999999999</v>
      </c>
      <c r="D111" s="4">
        <f>2*C111</f>
        <v>60.155999999999999</v>
      </c>
      <c r="E111" s="4">
        <f t="shared" si="6"/>
        <v>4.8732705807259004E-2</v>
      </c>
    </row>
    <row r="112" spans="1:5" ht="13.8" customHeight="1" x14ac:dyDescent="0.3">
      <c r="A112" s="1" t="s">
        <v>6</v>
      </c>
      <c r="B112" s="1" t="s">
        <v>44</v>
      </c>
      <c r="C112" s="1">
        <v>3.1549999999999998</v>
      </c>
      <c r="D112" s="1">
        <v>3.1549999999999998</v>
      </c>
      <c r="E112" s="4">
        <f t="shared" si="6"/>
        <v>7.3974843488692037E-3</v>
      </c>
    </row>
    <row r="113" spans="1:5" ht="13.8" customHeight="1" x14ac:dyDescent="0.3">
      <c r="A113" s="1" t="s">
        <v>5</v>
      </c>
      <c r="B113" s="1" t="s">
        <v>44</v>
      </c>
      <c r="C113" s="1">
        <v>0.63</v>
      </c>
      <c r="D113" s="1">
        <v>0.63</v>
      </c>
      <c r="E113" s="4">
        <f t="shared" si="6"/>
        <v>1.4771521837678603E-3</v>
      </c>
    </row>
    <row r="114" spans="1:5" ht="13.8" customHeight="1" x14ac:dyDescent="0.3">
      <c r="A114" s="1" t="s">
        <v>2</v>
      </c>
      <c r="B114" s="1" t="s">
        <v>44</v>
      </c>
      <c r="C114" s="1">
        <v>3.6070000000000002</v>
      </c>
      <c r="D114" s="1">
        <v>3.6070000000000002</v>
      </c>
      <c r="E114" s="4">
        <f t="shared" si="6"/>
        <v>8.4572824235724965E-3</v>
      </c>
    </row>
    <row r="115" spans="1:5" ht="13.8" customHeight="1" x14ac:dyDescent="0.3">
      <c r="A115" s="1" t="s">
        <v>15</v>
      </c>
      <c r="B115" s="1" t="s">
        <v>44</v>
      </c>
      <c r="C115" s="1">
        <v>42.3</v>
      </c>
      <c r="D115" s="1">
        <v>42.3</v>
      </c>
      <c r="E115" s="4">
        <f t="shared" si="6"/>
        <v>9.9180218052984909E-2</v>
      </c>
    </row>
    <row r="116" spans="1:5" ht="13.8" customHeight="1" x14ac:dyDescent="0.3">
      <c r="A116" s="1" t="s">
        <v>7</v>
      </c>
      <c r="B116" s="1" t="s">
        <v>44</v>
      </c>
      <c r="C116" s="1">
        <v>77.789000000000001</v>
      </c>
      <c r="D116" s="1">
        <v>77.789000000000001</v>
      </c>
      <c r="E116" s="4">
        <f t="shared" si="6"/>
        <v>0.18239077971923506</v>
      </c>
    </row>
    <row r="117" spans="1:5" ht="13.8" customHeight="1" x14ac:dyDescent="0.3">
      <c r="A117" s="1" t="s">
        <v>28</v>
      </c>
      <c r="B117" s="1" t="s">
        <v>44</v>
      </c>
      <c r="C117" s="1">
        <v>373.41399999999999</v>
      </c>
      <c r="D117" s="1">
        <v>373.41399999999999</v>
      </c>
      <c r="E117" s="4">
        <f t="shared" si="6"/>
        <v>0.87553858023728848</v>
      </c>
    </row>
    <row r="118" spans="1:5" ht="13.8" customHeight="1" x14ac:dyDescent="0.3">
      <c r="A118" s="1" t="s">
        <v>42</v>
      </c>
      <c r="B118" s="1" t="s">
        <v>44</v>
      </c>
      <c r="C118" s="1">
        <v>27359.913</v>
      </c>
      <c r="D118" s="1">
        <v>27359.913</v>
      </c>
      <c r="E118" s="4">
        <f t="shared" si="6"/>
        <v>64.15040513595028</v>
      </c>
    </row>
    <row r="119" spans="1:5" ht="13.8" customHeight="1" x14ac:dyDescent="0.3">
      <c r="A119" s="1" t="s">
        <v>19</v>
      </c>
      <c r="B119" s="1" t="s">
        <v>44</v>
      </c>
      <c r="C119" s="1">
        <v>66.844999999999999</v>
      </c>
      <c r="D119" s="1">
        <v>66.844999999999999</v>
      </c>
      <c r="E119" s="4">
        <f t="shared" si="6"/>
        <v>0.15673053606978193</v>
      </c>
    </row>
    <row r="120" spans="1:5" ht="13.8" customHeight="1" x14ac:dyDescent="0.3">
      <c r="A120" s="1" t="s">
        <v>21</v>
      </c>
      <c r="B120" s="1" t="s">
        <v>44</v>
      </c>
      <c r="C120" s="1">
        <v>23.074999999999999</v>
      </c>
      <c r="D120" s="1">
        <v>23.074999999999999</v>
      </c>
      <c r="E120" s="4">
        <f t="shared" si="6"/>
        <v>5.410362958800536E-2</v>
      </c>
    </row>
    <row r="121" spans="1:5" ht="13.8" customHeight="1" x14ac:dyDescent="0.3">
      <c r="A121" s="1" t="s">
        <v>4</v>
      </c>
      <c r="B121" s="1" t="s">
        <v>44</v>
      </c>
      <c r="C121" s="1">
        <v>26.241</v>
      </c>
      <c r="D121" s="1">
        <v>26.241</v>
      </c>
      <c r="E121" s="4">
        <f t="shared" si="6"/>
        <v>6.1526905482940347E-2</v>
      </c>
    </row>
    <row r="122" spans="1:5" ht="13.8" customHeight="1" x14ac:dyDescent="0.3">
      <c r="A122" s="1" t="s">
        <v>20</v>
      </c>
      <c r="B122" s="1" t="s">
        <v>44</v>
      </c>
      <c r="C122" s="1">
        <v>41.194000000000003</v>
      </c>
      <c r="D122" s="1">
        <v>41.194000000000003</v>
      </c>
      <c r="E122" s="4">
        <f t="shared" si="6"/>
        <v>9.6586995330370226E-2</v>
      </c>
    </row>
    <row r="123" spans="1:5" ht="13.8" customHeight="1" x14ac:dyDescent="0.3">
      <c r="A123" s="1" t="s">
        <v>27</v>
      </c>
      <c r="B123" s="1" t="s">
        <v>44</v>
      </c>
      <c r="C123" s="1">
        <v>3568.8380000000002</v>
      </c>
      <c r="D123" s="1">
        <v>3568.8380000000002</v>
      </c>
      <c r="E123" s="4">
        <f t="shared" si="6"/>
        <v>8.3678045162122583</v>
      </c>
    </row>
    <row r="124" spans="1:5" ht="13.8" customHeight="1" x14ac:dyDescent="0.3">
      <c r="A124" s="1" t="s">
        <v>17</v>
      </c>
      <c r="B124" s="1" t="s">
        <v>44</v>
      </c>
      <c r="C124" s="1">
        <v>3207.5259999999998</v>
      </c>
      <c r="D124" s="1">
        <v>3207.5259999999998</v>
      </c>
      <c r="E124" s="4">
        <f t="shared" si="6"/>
        <v>7.5206413260193479</v>
      </c>
    </row>
    <row r="125" spans="1:5" ht="13.8" customHeight="1" x14ac:dyDescent="0.3">
      <c r="A125" s="1" t="s">
        <v>34</v>
      </c>
      <c r="B125" s="1" t="s">
        <v>44</v>
      </c>
      <c r="C125" s="1">
        <v>7628.6980000000003</v>
      </c>
      <c r="D125" s="1">
        <v>7628.6980000000003</v>
      </c>
      <c r="E125" s="4">
        <f t="shared" si="6"/>
        <v>17.886901444453187</v>
      </c>
    </row>
    <row r="126" spans="1:5" ht="13.8" customHeight="1" x14ac:dyDescent="0.3">
      <c r="A126" s="1" t="s">
        <v>9</v>
      </c>
      <c r="B126" s="1" t="s">
        <v>44</v>
      </c>
      <c r="C126" s="1">
        <v>53.975999999999999</v>
      </c>
      <c r="D126" s="1">
        <v>53.975999999999999</v>
      </c>
      <c r="E126" s="4">
        <f t="shared" si="6"/>
        <v>0.12655677185881589</v>
      </c>
    </row>
    <row r="127" spans="1:5" ht="13.8" customHeight="1" x14ac:dyDescent="0.3">
      <c r="A127" s="1" t="s">
        <v>22</v>
      </c>
      <c r="B127" s="1" t="s">
        <v>44</v>
      </c>
      <c r="C127" s="1">
        <v>153.40799999999999</v>
      </c>
      <c r="D127" s="1">
        <v>153.40799999999999</v>
      </c>
      <c r="E127" s="4">
        <f t="shared" si="6"/>
        <v>0.3596935908054919</v>
      </c>
    </row>
    <row r="128" spans="1:5" ht="13.8" customHeight="1" x14ac:dyDescent="0.3">
      <c r="A128" s="1" t="s">
        <v>38</v>
      </c>
      <c r="B128" s="1" t="s">
        <v>44</v>
      </c>
      <c r="C128" s="1">
        <v>19.024999999999999</v>
      </c>
      <c r="D128" s="1">
        <v>19.024999999999999</v>
      </c>
      <c r="E128" s="4">
        <f t="shared" si="6"/>
        <v>4.4607651263783396E-2</v>
      </c>
    </row>
    <row r="129" spans="1:5" ht="13.8" customHeight="1" x14ac:dyDescent="0.3">
      <c r="A129" s="3" t="s">
        <v>23</v>
      </c>
      <c r="B129" s="3" t="s">
        <v>51</v>
      </c>
      <c r="C129" s="3">
        <v>2165.1390000000001</v>
      </c>
      <c r="D129" s="3">
        <v>2165.1390000000001</v>
      </c>
      <c r="E129" s="4">
        <f t="shared" ref="E129:E161" si="7">C129/VLOOKUP(B129,$G$1:$J$10,2,FALSE)*100</f>
        <v>1.8837459854099199</v>
      </c>
    </row>
    <row r="130" spans="1:5" ht="13.8" customHeight="1" x14ac:dyDescent="0.3">
      <c r="A130" s="3" t="s">
        <v>4</v>
      </c>
      <c r="B130" s="3" t="s">
        <v>51</v>
      </c>
      <c r="C130" s="3">
        <v>3221.259</v>
      </c>
      <c r="D130" s="3">
        <v>3221.259</v>
      </c>
      <c r="E130" s="4">
        <f t="shared" si="7"/>
        <v>2.802606996232377</v>
      </c>
    </row>
    <row r="131" spans="1:5" ht="13.8" customHeight="1" x14ac:dyDescent="0.3">
      <c r="A131" s="3" t="s">
        <v>5</v>
      </c>
      <c r="B131" s="3" t="s">
        <v>51</v>
      </c>
      <c r="C131" s="3">
        <v>3943.3339999999998</v>
      </c>
      <c r="D131" s="3">
        <v>3943.3339999999998</v>
      </c>
      <c r="E131" s="4">
        <f t="shared" si="7"/>
        <v>3.430837277251225</v>
      </c>
    </row>
    <row r="132" spans="1:5" ht="13.8" customHeight="1" x14ac:dyDescent="0.3">
      <c r="A132" s="3" t="s">
        <v>25</v>
      </c>
      <c r="B132" s="3" t="s">
        <v>51</v>
      </c>
      <c r="C132" s="3">
        <v>1193.2040000000002</v>
      </c>
      <c r="D132" s="3">
        <v>1193.2040000000002</v>
      </c>
      <c r="E132" s="4">
        <f t="shared" si="7"/>
        <v>1.0381288428941782</v>
      </c>
    </row>
    <row r="133" spans="1:5" ht="13.8" customHeight="1" x14ac:dyDescent="0.3">
      <c r="A133" s="3" t="s">
        <v>26</v>
      </c>
      <c r="B133" s="3" t="s">
        <v>51</v>
      </c>
      <c r="C133" s="3">
        <v>133.95599999999999</v>
      </c>
      <c r="D133" s="3">
        <v>133.95599999999999</v>
      </c>
      <c r="E133" s="4">
        <f t="shared" si="7"/>
        <v>0.11654636363834893</v>
      </c>
    </row>
    <row r="134" spans="1:5" ht="13.8" customHeight="1" x14ac:dyDescent="0.3">
      <c r="A134" s="3" t="s">
        <v>19</v>
      </c>
      <c r="B134" s="3" t="s">
        <v>51</v>
      </c>
      <c r="C134" s="3">
        <v>5773.9290000000001</v>
      </c>
      <c r="D134" s="3">
        <v>5773.9290000000001</v>
      </c>
      <c r="E134" s="4">
        <f t="shared" si="7"/>
        <v>5.0235183855595009</v>
      </c>
    </row>
    <row r="135" spans="1:5" ht="13.8" customHeight="1" x14ac:dyDescent="0.3">
      <c r="A135" s="3" t="s">
        <v>18</v>
      </c>
      <c r="B135" s="3" t="s">
        <v>51</v>
      </c>
      <c r="C135" s="3">
        <v>33584.441999999995</v>
      </c>
      <c r="D135" s="3">
        <v>33584.441999999995</v>
      </c>
      <c r="E135" s="4">
        <f t="shared" si="7"/>
        <v>29.219628758122358</v>
      </c>
    </row>
    <row r="136" spans="1:5" ht="13.8" customHeight="1" x14ac:dyDescent="0.3">
      <c r="A136" s="3" t="s">
        <v>16</v>
      </c>
      <c r="B136" s="3" t="s">
        <v>51</v>
      </c>
      <c r="C136" s="3">
        <v>5034.6840000000002</v>
      </c>
      <c r="D136" s="3">
        <v>5034.6840000000002</v>
      </c>
      <c r="E136" s="4">
        <f t="shared" si="7"/>
        <v>4.3803496093357319</v>
      </c>
    </row>
    <row r="137" spans="1:5" ht="13.8" customHeight="1" x14ac:dyDescent="0.3">
      <c r="A137" s="3" t="s">
        <v>17</v>
      </c>
      <c r="B137" s="3" t="s">
        <v>51</v>
      </c>
      <c r="C137" s="3">
        <v>16287.918999999991</v>
      </c>
      <c r="D137" s="3">
        <v>16287.918999999991</v>
      </c>
      <c r="E137" s="4">
        <f t="shared" si="7"/>
        <v>14.171054157230522</v>
      </c>
    </row>
    <row r="138" spans="1:5" ht="13.8" customHeight="1" x14ac:dyDescent="0.3">
      <c r="A138" s="3" t="s">
        <v>20</v>
      </c>
      <c r="B138" s="3" t="s">
        <v>51</v>
      </c>
      <c r="C138" s="3">
        <v>173.03199999999998</v>
      </c>
      <c r="D138" s="3">
        <v>173.03199999999998</v>
      </c>
      <c r="E138" s="4">
        <f t="shared" si="7"/>
        <v>0.15054383822352707</v>
      </c>
    </row>
    <row r="139" spans="1:5" ht="13.8" customHeight="1" x14ac:dyDescent="0.3">
      <c r="A139" s="3" t="s">
        <v>27</v>
      </c>
      <c r="B139" s="3" t="s">
        <v>51</v>
      </c>
      <c r="C139" s="3">
        <v>288.55</v>
      </c>
      <c r="D139" s="3">
        <v>288.55</v>
      </c>
      <c r="E139" s="4">
        <f t="shared" si="7"/>
        <v>0.25104850270122719</v>
      </c>
    </row>
    <row r="140" spans="1:5" ht="13.8" customHeight="1" x14ac:dyDescent="0.3">
      <c r="A140" s="3" t="s">
        <v>21</v>
      </c>
      <c r="B140" s="3" t="s">
        <v>51</v>
      </c>
      <c r="C140" s="3">
        <v>17825.234</v>
      </c>
      <c r="D140" s="3">
        <v>17825.234</v>
      </c>
      <c r="E140" s="4">
        <f t="shared" si="7"/>
        <v>15.508571498870236</v>
      </c>
    </row>
    <row r="141" spans="1:5" ht="13.8" customHeight="1" x14ac:dyDescent="0.3">
      <c r="A141" s="3" t="s">
        <v>28</v>
      </c>
      <c r="B141" s="3" t="s">
        <v>51</v>
      </c>
      <c r="C141" s="3">
        <v>245.19200000000001</v>
      </c>
      <c r="D141" s="3">
        <v>245.19200000000001</v>
      </c>
      <c r="E141" s="4">
        <f t="shared" si="7"/>
        <v>0.21332553967880538</v>
      </c>
    </row>
    <row r="142" spans="1:5" ht="13.8" customHeight="1" x14ac:dyDescent="0.3">
      <c r="A142" s="3" t="s">
        <v>29</v>
      </c>
      <c r="B142" s="3" t="s">
        <v>51</v>
      </c>
      <c r="C142" s="3">
        <v>1.165</v>
      </c>
      <c r="D142" s="3">
        <v>1.165</v>
      </c>
      <c r="E142" s="4">
        <f t="shared" si="7"/>
        <v>1.0135903851912309E-3</v>
      </c>
    </row>
    <row r="143" spans="1:5" ht="13.8" customHeight="1" x14ac:dyDescent="0.3">
      <c r="A143" s="3" t="s">
        <v>13</v>
      </c>
      <c r="B143" s="3" t="s">
        <v>51</v>
      </c>
      <c r="C143" s="3">
        <v>8165.0039999999999</v>
      </c>
      <c r="D143" s="3">
        <v>8165.0039999999999</v>
      </c>
      <c r="E143" s="4">
        <f t="shared" si="7"/>
        <v>7.1038365231312799</v>
      </c>
    </row>
    <row r="144" spans="1:5" ht="13.8" customHeight="1" x14ac:dyDescent="0.3">
      <c r="A144" s="3" t="s">
        <v>15</v>
      </c>
      <c r="B144" s="3" t="s">
        <v>51</v>
      </c>
      <c r="C144" s="3">
        <v>1153.752</v>
      </c>
      <c r="D144" s="3">
        <v>1153.752</v>
      </c>
      <c r="E144" s="4">
        <f t="shared" si="7"/>
        <v>1.0038042352748093</v>
      </c>
    </row>
    <row r="145" spans="1:5" ht="13.8" customHeight="1" x14ac:dyDescent="0.3">
      <c r="A145" s="3" t="s">
        <v>30</v>
      </c>
      <c r="B145" s="3" t="s">
        <v>51</v>
      </c>
      <c r="C145" s="3">
        <v>221.63</v>
      </c>
      <c r="D145" s="3">
        <v>221.63</v>
      </c>
      <c r="E145" s="4">
        <f t="shared" si="7"/>
        <v>0.19282578289264593</v>
      </c>
    </row>
    <row r="146" spans="1:5" ht="13.8" customHeight="1" x14ac:dyDescent="0.3">
      <c r="A146" s="3" t="s">
        <v>31</v>
      </c>
      <c r="B146" s="3" t="s">
        <v>51</v>
      </c>
      <c r="C146" s="3">
        <v>1249.95</v>
      </c>
      <c r="D146" s="3">
        <v>1249.95</v>
      </c>
      <c r="E146" s="4">
        <f t="shared" si="7"/>
        <v>1.0874998300169778</v>
      </c>
    </row>
    <row r="147" spans="1:5" ht="13.8" customHeight="1" x14ac:dyDescent="0.3">
      <c r="A147" s="3" t="s">
        <v>9</v>
      </c>
      <c r="B147" s="3" t="s">
        <v>51</v>
      </c>
      <c r="C147" s="3">
        <v>7216.7649999999994</v>
      </c>
      <c r="D147" s="3">
        <v>7216.7649999999994</v>
      </c>
      <c r="E147" s="4">
        <f t="shared" si="7"/>
        <v>6.2788357220468605</v>
      </c>
    </row>
    <row r="148" spans="1:5" ht="13.8" customHeight="1" x14ac:dyDescent="0.3">
      <c r="A148" s="3" t="s">
        <v>11</v>
      </c>
      <c r="B148" s="3" t="s">
        <v>51</v>
      </c>
      <c r="C148" s="3">
        <v>490.11399999999998</v>
      </c>
      <c r="D148" s="3">
        <v>490.11399999999998</v>
      </c>
      <c r="E148" s="4">
        <f t="shared" si="7"/>
        <v>0.42641616999795273</v>
      </c>
    </row>
    <row r="149" spans="1:5" ht="13.8" customHeight="1" x14ac:dyDescent="0.3">
      <c r="A149" s="3" t="s">
        <v>6</v>
      </c>
      <c r="B149" s="3" t="s">
        <v>51</v>
      </c>
      <c r="C149" s="3">
        <v>1021.484</v>
      </c>
      <c r="D149" s="3">
        <v>1021.484</v>
      </c>
      <c r="E149" s="4">
        <f t="shared" si="7"/>
        <v>0.88872649015165595</v>
      </c>
    </row>
    <row r="150" spans="1:5" ht="13.8" customHeight="1" x14ac:dyDescent="0.3">
      <c r="A150" s="3" t="s">
        <v>12</v>
      </c>
      <c r="B150" s="3" t="s">
        <v>51</v>
      </c>
      <c r="C150" s="3">
        <v>398.87599999999998</v>
      </c>
      <c r="D150" s="3">
        <v>398.87599999999998</v>
      </c>
      <c r="E150" s="4">
        <f t="shared" si="7"/>
        <v>0.34703594719616943</v>
      </c>
    </row>
    <row r="151" spans="1:5" ht="13.8" customHeight="1" x14ac:dyDescent="0.3">
      <c r="A151" s="3" t="s">
        <v>7</v>
      </c>
      <c r="B151" s="3" t="s">
        <v>51</v>
      </c>
      <c r="C151" s="3">
        <v>827.53</v>
      </c>
      <c r="D151" s="3">
        <v>827.53</v>
      </c>
      <c r="E151" s="4">
        <f t="shared" si="7"/>
        <v>0.71997978665862605</v>
      </c>
    </row>
    <row r="152" spans="1:5" ht="13.8" customHeight="1" x14ac:dyDescent="0.3">
      <c r="A152" s="3" t="s">
        <v>14</v>
      </c>
      <c r="B152" s="3" t="s">
        <v>51</v>
      </c>
      <c r="C152" s="3">
        <v>2788.7649999999999</v>
      </c>
      <c r="D152" s="3">
        <v>2788.7649999999999</v>
      </c>
      <c r="E152" s="4">
        <f t="shared" si="7"/>
        <v>2.4263222236547834</v>
      </c>
    </row>
    <row r="153" spans="1:5" ht="13.8" customHeight="1" x14ac:dyDescent="0.3">
      <c r="A153" s="3" t="s">
        <v>46</v>
      </c>
      <c r="B153" s="3" t="s">
        <v>51</v>
      </c>
      <c r="C153" s="3">
        <v>33.154000000000003</v>
      </c>
      <c r="D153" s="3">
        <v>33.154000000000003</v>
      </c>
      <c r="E153" s="4">
        <f t="shared" si="7"/>
        <v>2.8845129296678176E-2</v>
      </c>
    </row>
    <row r="154" spans="1:5" ht="13.8" customHeight="1" x14ac:dyDescent="0.3">
      <c r="A154" s="3" t="s">
        <v>37</v>
      </c>
      <c r="B154" s="3" t="s">
        <v>51</v>
      </c>
      <c r="C154" s="3">
        <v>109.136</v>
      </c>
      <c r="D154" s="3">
        <v>109.136</v>
      </c>
      <c r="E154" s="4">
        <f t="shared" si="7"/>
        <v>9.4952103243116023E-2</v>
      </c>
    </row>
    <row r="155" spans="1:5" ht="13.8" customHeight="1" x14ac:dyDescent="0.3">
      <c r="A155" s="3" t="s">
        <v>2</v>
      </c>
      <c r="B155" s="3" t="s">
        <v>51</v>
      </c>
      <c r="C155" s="3">
        <v>41.491999999999997</v>
      </c>
      <c r="D155" s="3">
        <v>41.491999999999997</v>
      </c>
      <c r="E155" s="4">
        <f t="shared" si="7"/>
        <v>3.6099478336785021E-2</v>
      </c>
    </row>
    <row r="156" spans="1:5" ht="13.8" customHeight="1" x14ac:dyDescent="0.3">
      <c r="A156" s="3" t="s">
        <v>22</v>
      </c>
      <c r="B156" s="3" t="s">
        <v>51</v>
      </c>
      <c r="C156" s="3">
        <v>1192.703</v>
      </c>
      <c r="D156" s="3">
        <v>1192.703</v>
      </c>
      <c r="E156" s="4">
        <f t="shared" si="7"/>
        <v>1.0376929555268124</v>
      </c>
    </row>
    <row r="157" spans="1:5" ht="13.8" customHeight="1" x14ac:dyDescent="0.3">
      <c r="A157" s="3" t="s">
        <v>47</v>
      </c>
      <c r="B157" s="3" t="s">
        <v>51</v>
      </c>
      <c r="C157" s="3">
        <v>3.875</v>
      </c>
      <c r="D157" s="3">
        <v>3.875</v>
      </c>
      <c r="E157" s="4">
        <f t="shared" si="7"/>
        <v>3.3713843284257678E-3</v>
      </c>
    </row>
    <row r="158" spans="1:5" ht="13.8" customHeight="1" x14ac:dyDescent="0.3">
      <c r="A158" s="3" t="s">
        <v>48</v>
      </c>
      <c r="B158" s="3" t="s">
        <v>51</v>
      </c>
      <c r="C158" s="3">
        <v>2.5819999999999999</v>
      </c>
      <c r="D158" s="3">
        <v>2.5819999999999999</v>
      </c>
      <c r="E158" s="4">
        <f t="shared" si="7"/>
        <v>2.2464295060633118E-3</v>
      </c>
    </row>
    <row r="159" spans="1:5" ht="13.8" customHeight="1" x14ac:dyDescent="0.3">
      <c r="A159" s="3" t="s">
        <v>38</v>
      </c>
      <c r="B159" s="3" t="s">
        <v>51</v>
      </c>
      <c r="C159" s="3">
        <v>10.95</v>
      </c>
      <c r="D159" s="3">
        <v>10.95</v>
      </c>
      <c r="E159" s="4">
        <f t="shared" si="7"/>
        <v>9.5268795861321691E-3</v>
      </c>
    </row>
    <row r="160" spans="1:5" ht="13.8" customHeight="1" x14ac:dyDescent="0.3">
      <c r="A160" s="3" t="s">
        <v>49</v>
      </c>
      <c r="B160" s="3" t="s">
        <v>51</v>
      </c>
      <c r="C160" s="3">
        <v>39.834000000000003</v>
      </c>
      <c r="D160" s="3">
        <v>39.834000000000003</v>
      </c>
      <c r="E160" s="4">
        <f t="shared" si="7"/>
        <v>3.4656960861551497E-2</v>
      </c>
    </row>
    <row r="161" spans="1:5" ht="13.8" customHeight="1" x14ac:dyDescent="0.3">
      <c r="A161" s="3" t="s">
        <v>50</v>
      </c>
      <c r="B161" s="3" t="s">
        <v>51</v>
      </c>
      <c r="C161" s="3">
        <v>99.313999999999993</v>
      </c>
      <c r="D161" s="3">
        <v>99.313999999999993</v>
      </c>
      <c r="E161" s="4">
        <f t="shared" si="7"/>
        <v>8.6406622759555282E-2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C6B4-37B8-4AD1-BB2C-2D33225137B5}">
  <dimension ref="A1:K17"/>
  <sheetViews>
    <sheetView topLeftCell="B1" workbookViewId="0">
      <selection activeCell="A4" sqref="A4"/>
    </sheetView>
  </sheetViews>
  <sheetFormatPr defaultRowHeight="14.4" x14ac:dyDescent="0.3"/>
  <cols>
    <col min="1" max="1" width="42.33203125" customWidth="1"/>
  </cols>
  <sheetData>
    <row r="1" spans="1:11" x14ac:dyDescent="0.3">
      <c r="A1" t="s">
        <v>56</v>
      </c>
      <c r="B1" t="s">
        <v>32</v>
      </c>
      <c r="C1" t="s">
        <v>39</v>
      </c>
      <c r="D1" t="s">
        <v>35</v>
      </c>
      <c r="E1" t="s">
        <v>59</v>
      </c>
      <c r="F1" t="s">
        <v>24</v>
      </c>
      <c r="G1" t="s">
        <v>57</v>
      </c>
      <c r="H1" t="s">
        <v>44</v>
      </c>
      <c r="I1" t="s">
        <v>58</v>
      </c>
      <c r="J1" t="s">
        <v>60</v>
      </c>
      <c r="K1" t="s">
        <v>3</v>
      </c>
    </row>
    <row r="2" spans="1:11" x14ac:dyDescent="0.3">
      <c r="A2" t="s">
        <v>61</v>
      </c>
      <c r="B2">
        <v>11000</v>
      </c>
      <c r="C2">
        <v>66000</v>
      </c>
      <c r="D2">
        <v>47000</v>
      </c>
      <c r="E2">
        <v>69000</v>
      </c>
      <c r="F2" t="s">
        <v>62</v>
      </c>
      <c r="G2">
        <v>49000</v>
      </c>
      <c r="H2">
        <v>20000</v>
      </c>
      <c r="I2">
        <v>20000</v>
      </c>
      <c r="J2">
        <v>16000</v>
      </c>
      <c r="K2">
        <v>4000</v>
      </c>
    </row>
    <row r="3" spans="1:11" x14ac:dyDescent="0.3">
      <c r="A3" t="s">
        <v>63</v>
      </c>
      <c r="B3">
        <v>12000</v>
      </c>
      <c r="C3">
        <v>20000</v>
      </c>
      <c r="D3">
        <v>39000</v>
      </c>
      <c r="E3">
        <v>57000</v>
      </c>
      <c r="F3" t="s">
        <v>62</v>
      </c>
      <c r="G3">
        <v>19000</v>
      </c>
      <c r="H3">
        <v>11000</v>
      </c>
      <c r="I3">
        <v>8000</v>
      </c>
      <c r="J3" t="s">
        <v>62</v>
      </c>
      <c r="K3" t="s">
        <v>62</v>
      </c>
    </row>
    <row r="4" spans="1:11" x14ac:dyDescent="0.3">
      <c r="A4" t="s">
        <v>64</v>
      </c>
      <c r="B4" t="s">
        <v>62</v>
      </c>
      <c r="C4" t="s">
        <v>62</v>
      </c>
      <c r="D4" t="s">
        <v>62</v>
      </c>
      <c r="E4" t="s">
        <v>62</v>
      </c>
      <c r="F4" t="s">
        <v>62</v>
      </c>
      <c r="G4" t="s">
        <v>62</v>
      </c>
      <c r="H4">
        <v>29000</v>
      </c>
      <c r="I4" t="s">
        <v>62</v>
      </c>
      <c r="J4" t="s">
        <v>62</v>
      </c>
      <c r="K4">
        <v>56000</v>
      </c>
    </row>
    <row r="5" spans="1:11" x14ac:dyDescent="0.3">
      <c r="A5" t="s">
        <v>65</v>
      </c>
      <c r="B5" t="s">
        <v>62</v>
      </c>
      <c r="C5" t="s">
        <v>62</v>
      </c>
      <c r="D5" t="s">
        <v>62</v>
      </c>
      <c r="E5">
        <v>30000</v>
      </c>
      <c r="F5" t="s">
        <v>62</v>
      </c>
      <c r="G5" t="s">
        <v>62</v>
      </c>
      <c r="H5">
        <v>83000</v>
      </c>
      <c r="I5" t="s">
        <v>62</v>
      </c>
      <c r="J5" t="s">
        <v>62</v>
      </c>
      <c r="K5" t="s">
        <v>62</v>
      </c>
    </row>
    <row r="6" spans="1:11" x14ac:dyDescent="0.3">
      <c r="A6" t="s">
        <v>66</v>
      </c>
      <c r="B6">
        <v>6000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</row>
    <row r="7" spans="1:11" x14ac:dyDescent="0.3">
      <c r="A7" t="s">
        <v>67</v>
      </c>
      <c r="B7">
        <v>5000</v>
      </c>
      <c r="C7">
        <v>156000</v>
      </c>
      <c r="D7">
        <v>37000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</row>
    <row r="8" spans="1:11" x14ac:dyDescent="0.3">
      <c r="A8" t="s">
        <v>68</v>
      </c>
      <c r="B8" t="s">
        <v>62</v>
      </c>
      <c r="C8" t="s">
        <v>62</v>
      </c>
      <c r="D8">
        <v>35000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>
        <v>34000</v>
      </c>
      <c r="K8" t="s">
        <v>62</v>
      </c>
    </row>
    <row r="9" spans="1:11" x14ac:dyDescent="0.3">
      <c r="A9" t="s">
        <v>69</v>
      </c>
      <c r="B9" t="s">
        <v>62</v>
      </c>
      <c r="C9" t="s">
        <v>62</v>
      </c>
      <c r="D9" t="s">
        <v>62</v>
      </c>
      <c r="E9" t="s">
        <v>62</v>
      </c>
      <c r="F9" t="s">
        <v>62</v>
      </c>
      <c r="G9" t="s">
        <v>62</v>
      </c>
      <c r="H9" t="s">
        <v>62</v>
      </c>
      <c r="I9" t="s">
        <v>62</v>
      </c>
      <c r="J9">
        <v>85000</v>
      </c>
      <c r="K9" t="s">
        <v>62</v>
      </c>
    </row>
    <row r="10" spans="1:11" x14ac:dyDescent="0.3">
      <c r="A10" t="s">
        <v>70</v>
      </c>
      <c r="B10" t="s">
        <v>62</v>
      </c>
      <c r="C10" t="s">
        <v>62</v>
      </c>
      <c r="D10" t="s">
        <v>62</v>
      </c>
      <c r="E10" t="s">
        <v>62</v>
      </c>
      <c r="F10" t="s">
        <v>62</v>
      </c>
      <c r="G10">
        <v>4000</v>
      </c>
      <c r="H10" t="s">
        <v>62</v>
      </c>
      <c r="I10" t="s">
        <v>62</v>
      </c>
      <c r="J10" t="s">
        <v>62</v>
      </c>
      <c r="K10" t="s">
        <v>62</v>
      </c>
    </row>
    <row r="11" spans="1:11" x14ac:dyDescent="0.3">
      <c r="A11" t="s">
        <v>71</v>
      </c>
      <c r="B11" t="s">
        <v>62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>
        <v>8000</v>
      </c>
      <c r="I11" t="s">
        <v>62</v>
      </c>
      <c r="J11" t="s">
        <v>62</v>
      </c>
      <c r="K11" t="s">
        <v>62</v>
      </c>
    </row>
    <row r="12" spans="1:11" x14ac:dyDescent="0.3">
      <c r="A12" t="s">
        <v>72</v>
      </c>
      <c r="B12" t="s">
        <v>62</v>
      </c>
      <c r="C12" t="s">
        <v>62</v>
      </c>
      <c r="D12" t="s">
        <v>62</v>
      </c>
      <c r="E12" t="s">
        <v>62</v>
      </c>
      <c r="F12">
        <v>9000</v>
      </c>
      <c r="G12">
        <v>6000</v>
      </c>
      <c r="H12" t="s">
        <v>62</v>
      </c>
      <c r="I12">
        <v>2000</v>
      </c>
      <c r="J12" t="s">
        <v>62</v>
      </c>
      <c r="K12" t="s">
        <v>62</v>
      </c>
    </row>
    <row r="13" spans="1:11" x14ac:dyDescent="0.3">
      <c r="A13" t="s">
        <v>73</v>
      </c>
      <c r="B13" t="s">
        <v>62</v>
      </c>
      <c r="C13" t="s">
        <v>62</v>
      </c>
      <c r="D13" t="s">
        <v>62</v>
      </c>
      <c r="E13">
        <v>12000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</row>
    <row r="14" spans="1:11" x14ac:dyDescent="0.3">
      <c r="A14" t="s">
        <v>74</v>
      </c>
      <c r="B14">
        <v>4000</v>
      </c>
      <c r="C14">
        <v>16000</v>
      </c>
      <c r="D14">
        <v>5000</v>
      </c>
      <c r="E14">
        <v>31000</v>
      </c>
      <c r="F14">
        <v>0</v>
      </c>
      <c r="G14">
        <v>1000</v>
      </c>
      <c r="H14">
        <v>4000</v>
      </c>
      <c r="I14">
        <v>1000</v>
      </c>
      <c r="J14">
        <v>7000</v>
      </c>
      <c r="K14">
        <v>4000</v>
      </c>
    </row>
    <row r="15" spans="1:11" x14ac:dyDescent="0.3">
      <c r="A15" t="s">
        <v>75</v>
      </c>
      <c r="B15">
        <v>37000</v>
      </c>
      <c r="C15">
        <v>258000</v>
      </c>
      <c r="D15">
        <v>161000</v>
      </c>
      <c r="E15">
        <v>197000</v>
      </c>
      <c r="F15">
        <v>9000</v>
      </c>
      <c r="G15">
        <v>80000</v>
      </c>
      <c r="H15">
        <v>156000</v>
      </c>
      <c r="I15">
        <v>30000</v>
      </c>
      <c r="J15">
        <v>141000</v>
      </c>
      <c r="K15">
        <v>64000</v>
      </c>
    </row>
    <row r="16" spans="1:11" x14ac:dyDescent="0.3">
      <c r="A16" t="s">
        <v>76</v>
      </c>
      <c r="B16">
        <v>41000</v>
      </c>
      <c r="C16">
        <v>199000</v>
      </c>
      <c r="D16">
        <v>125000</v>
      </c>
      <c r="E16">
        <v>204000</v>
      </c>
      <c r="F16">
        <v>33000</v>
      </c>
      <c r="G16">
        <v>94000</v>
      </c>
      <c r="H16">
        <v>158000</v>
      </c>
      <c r="I16">
        <v>20000</v>
      </c>
      <c r="J16">
        <v>72000</v>
      </c>
      <c r="K16">
        <v>36000</v>
      </c>
    </row>
    <row r="17" spans="1:11" x14ac:dyDescent="0.3">
      <c r="A17" t="s">
        <v>77</v>
      </c>
      <c r="B17">
        <f>B16/B15*100</f>
        <v>110.81081081081081</v>
      </c>
      <c r="C17">
        <f t="shared" ref="C17:K17" si="0">C16/C15*100</f>
        <v>77.131782945736433</v>
      </c>
      <c r="D17">
        <f t="shared" si="0"/>
        <v>77.639751552795033</v>
      </c>
      <c r="E17">
        <f t="shared" si="0"/>
        <v>103.55329949238579</v>
      </c>
      <c r="F17">
        <f t="shared" si="0"/>
        <v>366.66666666666663</v>
      </c>
      <c r="G17">
        <f t="shared" si="0"/>
        <v>117.5</v>
      </c>
      <c r="H17">
        <f t="shared" si="0"/>
        <v>101.28205128205127</v>
      </c>
      <c r="I17">
        <f t="shared" si="0"/>
        <v>66.666666666666657</v>
      </c>
      <c r="J17">
        <f t="shared" si="0"/>
        <v>51.063829787234042</v>
      </c>
      <c r="K17">
        <f t="shared" si="0"/>
        <v>56.25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2959-E2B5-466D-B2B4-7F23F33A1FD1}">
  <dimension ref="A1:F52"/>
  <sheetViews>
    <sheetView workbookViewId="0">
      <selection activeCell="E16" sqref="E16"/>
    </sheetView>
  </sheetViews>
  <sheetFormatPr defaultRowHeight="14.4" customHeight="1" x14ac:dyDescent="0.3"/>
  <cols>
    <col min="1" max="1" width="39.77734375" customWidth="1"/>
    <col min="5" max="5" width="23.33203125" bestFit="1" customWidth="1"/>
  </cols>
  <sheetData>
    <row r="1" spans="1:6" ht="14.4" customHeight="1" x14ac:dyDescent="0.3">
      <c r="A1" s="1" t="s">
        <v>23</v>
      </c>
      <c r="B1" s="1" t="s">
        <v>24</v>
      </c>
      <c r="C1" s="1">
        <v>959.32</v>
      </c>
      <c r="E1" t="s">
        <v>1</v>
      </c>
      <c r="F1" t="s">
        <v>53</v>
      </c>
    </row>
    <row r="2" spans="1:6" ht="14.4" customHeight="1" x14ac:dyDescent="0.3">
      <c r="A2" s="1" t="s">
        <v>4</v>
      </c>
      <c r="B2" s="1" t="s">
        <v>24</v>
      </c>
      <c r="C2" s="1">
        <v>2364.607</v>
      </c>
      <c r="E2" t="s">
        <v>45</v>
      </c>
      <c r="F2">
        <v>124393</v>
      </c>
    </row>
    <row r="3" spans="1:6" ht="14.4" customHeight="1" x14ac:dyDescent="0.3">
      <c r="A3" s="1" t="s">
        <v>5</v>
      </c>
      <c r="B3" s="1" t="s">
        <v>24</v>
      </c>
      <c r="C3" s="1">
        <v>684.80899999999997</v>
      </c>
      <c r="E3" t="s">
        <v>24</v>
      </c>
      <c r="F3">
        <v>36022</v>
      </c>
    </row>
    <row r="4" spans="1:6" ht="14.4" customHeight="1" x14ac:dyDescent="0.3">
      <c r="A4" s="1" t="s">
        <v>25</v>
      </c>
      <c r="B4" s="1" t="s">
        <v>24</v>
      </c>
      <c r="C4" s="1">
        <v>838.69500000000005</v>
      </c>
    </row>
    <row r="5" spans="1:6" ht="14.4" customHeight="1" x14ac:dyDescent="0.3">
      <c r="A5" s="1" t="s">
        <v>26</v>
      </c>
      <c r="B5" s="1" t="s">
        <v>24</v>
      </c>
      <c r="C5" s="1">
        <v>0.94399999999999995</v>
      </c>
    </row>
    <row r="6" spans="1:6" ht="14.4" customHeight="1" x14ac:dyDescent="0.3">
      <c r="A6" s="1" t="s">
        <v>19</v>
      </c>
      <c r="B6" s="1" t="s">
        <v>24</v>
      </c>
      <c r="C6" s="1">
        <v>2556.3339999999998</v>
      </c>
    </row>
    <row r="7" spans="1:6" ht="14.4" customHeight="1" x14ac:dyDescent="0.3">
      <c r="A7" s="1" t="s">
        <v>18</v>
      </c>
      <c r="B7" s="1" t="s">
        <v>24</v>
      </c>
      <c r="C7" s="1">
        <v>6573.02</v>
      </c>
    </row>
    <row r="8" spans="1:6" ht="14.4" customHeight="1" x14ac:dyDescent="0.3">
      <c r="A8" s="1" t="s">
        <v>16</v>
      </c>
      <c r="B8" s="1" t="s">
        <v>24</v>
      </c>
      <c r="C8" s="1">
        <v>3031.57</v>
      </c>
    </row>
    <row r="9" spans="1:6" ht="14.4" customHeight="1" x14ac:dyDescent="0.3">
      <c r="A9" s="1" t="s">
        <v>17</v>
      </c>
      <c r="B9" s="1" t="s">
        <v>24</v>
      </c>
      <c r="C9" s="1">
        <v>5547.9069999999901</v>
      </c>
    </row>
    <row r="10" spans="1:6" ht="14.4" customHeight="1" x14ac:dyDescent="0.3">
      <c r="A10" s="1" t="s">
        <v>20</v>
      </c>
      <c r="B10" s="1" t="s">
        <v>24</v>
      </c>
      <c r="C10" s="1">
        <v>91.997</v>
      </c>
    </row>
    <row r="11" spans="1:6" ht="14.4" customHeight="1" x14ac:dyDescent="0.3">
      <c r="A11" s="1" t="s">
        <v>27</v>
      </c>
      <c r="B11" s="1" t="s">
        <v>24</v>
      </c>
      <c r="C11" s="1">
        <v>61.362000000000002</v>
      </c>
    </row>
    <row r="12" spans="1:6" ht="14.4" customHeight="1" x14ac:dyDescent="0.3">
      <c r="A12" s="1" t="s">
        <v>21</v>
      </c>
      <c r="B12" s="1" t="s">
        <v>24</v>
      </c>
      <c r="C12" s="1">
        <v>5471.6289999999999</v>
      </c>
    </row>
    <row r="13" spans="1:6" ht="14.4" customHeight="1" x14ac:dyDescent="0.3">
      <c r="A13" s="1" t="s">
        <v>28</v>
      </c>
      <c r="B13" s="1" t="s">
        <v>24</v>
      </c>
      <c r="C13" s="1">
        <v>165.249</v>
      </c>
    </row>
    <row r="14" spans="1:6" ht="14.4" customHeight="1" x14ac:dyDescent="0.3">
      <c r="A14" s="1" t="s">
        <v>29</v>
      </c>
      <c r="B14" s="1" t="s">
        <v>24</v>
      </c>
      <c r="C14" s="1">
        <v>0.92200000000000004</v>
      </c>
    </row>
    <row r="15" spans="1:6" ht="14.4" customHeight="1" x14ac:dyDescent="0.3">
      <c r="A15" s="1" t="s">
        <v>13</v>
      </c>
      <c r="B15" s="1" t="s">
        <v>24</v>
      </c>
      <c r="C15" s="1">
        <v>1468.954</v>
      </c>
    </row>
    <row r="16" spans="1:6" ht="14.4" customHeight="1" x14ac:dyDescent="0.3">
      <c r="A16" s="1" t="s">
        <v>15</v>
      </c>
      <c r="B16" s="1" t="s">
        <v>24</v>
      </c>
      <c r="C16" s="1">
        <v>344.63400000000001</v>
      </c>
    </row>
    <row r="17" spans="1:3" ht="14.4" customHeight="1" x14ac:dyDescent="0.3">
      <c r="A17" s="1" t="s">
        <v>30</v>
      </c>
      <c r="B17" s="1" t="s">
        <v>24</v>
      </c>
      <c r="C17" s="1">
        <v>104.381</v>
      </c>
    </row>
    <row r="18" spans="1:3" ht="14.4" customHeight="1" x14ac:dyDescent="0.3">
      <c r="A18" s="1" t="s">
        <v>31</v>
      </c>
      <c r="B18" s="1" t="s">
        <v>24</v>
      </c>
      <c r="C18" s="1">
        <v>737.327</v>
      </c>
    </row>
    <row r="19" spans="1:3" ht="14.4" customHeight="1" x14ac:dyDescent="0.3">
      <c r="A19" s="1" t="s">
        <v>9</v>
      </c>
      <c r="B19" s="1" t="s">
        <v>24</v>
      </c>
      <c r="C19" s="1">
        <v>2134.7489999999998</v>
      </c>
    </row>
    <row r="20" spans="1:3" ht="14.4" customHeight="1" x14ac:dyDescent="0.3">
      <c r="A20" s="1" t="s">
        <v>11</v>
      </c>
      <c r="B20" s="1" t="s">
        <v>45</v>
      </c>
      <c r="C20" s="1">
        <v>490.11399999999998</v>
      </c>
    </row>
    <row r="21" spans="1:3" ht="14.4" customHeight="1" x14ac:dyDescent="0.3">
      <c r="A21" s="1" t="s">
        <v>5</v>
      </c>
      <c r="B21" s="1" t="s">
        <v>45</v>
      </c>
      <c r="C21" s="1">
        <v>3258.5250000000001</v>
      </c>
    </row>
    <row r="22" spans="1:3" ht="14.4" customHeight="1" x14ac:dyDescent="0.3">
      <c r="A22" s="1" t="s">
        <v>15</v>
      </c>
      <c r="B22" s="1" t="s">
        <v>45</v>
      </c>
      <c r="C22" s="1">
        <v>809.11800000000005</v>
      </c>
    </row>
    <row r="23" spans="1:3" ht="14.4" customHeight="1" x14ac:dyDescent="0.3">
      <c r="A23" s="1" t="s">
        <v>6</v>
      </c>
      <c r="B23" s="1" t="s">
        <v>45</v>
      </c>
      <c r="C23" s="1">
        <v>1021.484</v>
      </c>
    </row>
    <row r="24" spans="1:3" ht="14.4" customHeight="1" x14ac:dyDescent="0.3">
      <c r="A24" s="1" t="s">
        <v>12</v>
      </c>
      <c r="B24" s="1" t="s">
        <v>45</v>
      </c>
      <c r="C24" s="1">
        <v>398.87599999999998</v>
      </c>
    </row>
    <row r="25" spans="1:3" ht="14.4" customHeight="1" x14ac:dyDescent="0.3">
      <c r="A25" s="1" t="s">
        <v>23</v>
      </c>
      <c r="B25" s="1" t="s">
        <v>45</v>
      </c>
      <c r="C25" s="1">
        <v>1205.819</v>
      </c>
    </row>
    <row r="26" spans="1:3" ht="14.4" customHeight="1" x14ac:dyDescent="0.3">
      <c r="A26" s="1" t="s">
        <v>4</v>
      </c>
      <c r="B26" s="1" t="s">
        <v>45</v>
      </c>
      <c r="C26" s="1">
        <v>856.65200000000004</v>
      </c>
    </row>
    <row r="27" spans="1:3" ht="14.4" customHeight="1" x14ac:dyDescent="0.3">
      <c r="A27" s="1" t="s">
        <v>25</v>
      </c>
      <c r="B27" s="1" t="s">
        <v>45</v>
      </c>
      <c r="C27" s="1">
        <v>354.50900000000001</v>
      </c>
    </row>
    <row r="28" spans="1:3" ht="14.4" customHeight="1" x14ac:dyDescent="0.3">
      <c r="A28" s="1" t="s">
        <v>7</v>
      </c>
      <c r="B28" s="1" t="s">
        <v>45</v>
      </c>
      <c r="C28" s="1">
        <v>827.53</v>
      </c>
    </row>
    <row r="29" spans="1:3" ht="14.4" customHeight="1" x14ac:dyDescent="0.3">
      <c r="A29" s="1" t="s">
        <v>26</v>
      </c>
      <c r="B29" s="1" t="s">
        <v>45</v>
      </c>
      <c r="C29" s="1">
        <v>133.012</v>
      </c>
    </row>
    <row r="30" spans="1:3" ht="14.4" customHeight="1" x14ac:dyDescent="0.3">
      <c r="A30" s="1" t="s">
        <v>20</v>
      </c>
      <c r="B30" s="1" t="s">
        <v>45</v>
      </c>
      <c r="C30" s="1">
        <v>81.034999999999997</v>
      </c>
    </row>
    <row r="31" spans="1:3" ht="14.4" customHeight="1" x14ac:dyDescent="0.3">
      <c r="A31" s="1" t="s">
        <v>18</v>
      </c>
      <c r="B31" s="1" t="s">
        <v>45</v>
      </c>
      <c r="C31" s="1">
        <v>27011.421999999999</v>
      </c>
    </row>
    <row r="32" spans="1:3" ht="14.4" customHeight="1" x14ac:dyDescent="0.3">
      <c r="A32" s="1" t="s">
        <v>16</v>
      </c>
      <c r="B32" s="1" t="s">
        <v>45</v>
      </c>
      <c r="C32" s="1">
        <v>2003.114</v>
      </c>
    </row>
    <row r="33" spans="1:3" ht="14.4" customHeight="1" x14ac:dyDescent="0.3">
      <c r="A33" s="1" t="s">
        <v>17</v>
      </c>
      <c r="B33" s="1" t="s">
        <v>45</v>
      </c>
      <c r="C33" s="1">
        <v>10740.012000000001</v>
      </c>
    </row>
    <row r="34" spans="1:3" ht="14.4" customHeight="1" x14ac:dyDescent="0.3">
      <c r="A34" s="1" t="s">
        <v>27</v>
      </c>
      <c r="B34" s="1" t="s">
        <v>45</v>
      </c>
      <c r="C34" s="1">
        <v>227.18799999999999</v>
      </c>
    </row>
    <row r="35" spans="1:3" ht="14.4" customHeight="1" x14ac:dyDescent="0.3">
      <c r="A35" s="1" t="s">
        <v>21</v>
      </c>
      <c r="B35" s="1" t="s">
        <v>45</v>
      </c>
      <c r="C35" s="1">
        <v>12353.605</v>
      </c>
    </row>
    <row r="36" spans="1:3" ht="14.4" customHeight="1" x14ac:dyDescent="0.3">
      <c r="A36" s="1" t="s">
        <v>19</v>
      </c>
      <c r="B36" s="1" t="s">
        <v>45</v>
      </c>
      <c r="C36" s="1">
        <v>3217.5949999999998</v>
      </c>
    </row>
    <row r="37" spans="1:3" ht="14.4" customHeight="1" x14ac:dyDescent="0.3">
      <c r="A37" s="1" t="s">
        <v>28</v>
      </c>
      <c r="B37" s="1" t="s">
        <v>45</v>
      </c>
      <c r="C37" s="1">
        <v>79.942999999999998</v>
      </c>
    </row>
    <row r="38" spans="1:3" ht="14.4" customHeight="1" x14ac:dyDescent="0.3">
      <c r="A38" s="1" t="s">
        <v>29</v>
      </c>
      <c r="B38" s="1" t="s">
        <v>45</v>
      </c>
      <c r="C38" s="1">
        <v>0.24299999999999999</v>
      </c>
    </row>
    <row r="39" spans="1:3" ht="14.4" customHeight="1" x14ac:dyDescent="0.3">
      <c r="A39" s="1" t="s">
        <v>13</v>
      </c>
      <c r="B39" s="1" t="s">
        <v>45</v>
      </c>
      <c r="C39" s="1">
        <v>6696.05</v>
      </c>
    </row>
    <row r="40" spans="1:3" ht="14.4" customHeight="1" x14ac:dyDescent="0.3">
      <c r="A40" s="1" t="s">
        <v>14</v>
      </c>
      <c r="B40" s="1" t="s">
        <v>45</v>
      </c>
      <c r="C40" s="1">
        <v>2788.7649999999999</v>
      </c>
    </row>
    <row r="41" spans="1:3" ht="14.4" customHeight="1" x14ac:dyDescent="0.3">
      <c r="A41" s="1" t="s">
        <v>46</v>
      </c>
      <c r="B41" s="1" t="s">
        <v>45</v>
      </c>
      <c r="C41" s="1">
        <v>33.154000000000003</v>
      </c>
    </row>
    <row r="42" spans="1:3" ht="14.4" customHeight="1" x14ac:dyDescent="0.3">
      <c r="A42" s="1" t="s">
        <v>37</v>
      </c>
      <c r="B42" s="1" t="s">
        <v>45</v>
      </c>
      <c r="C42" s="1">
        <v>109.136</v>
      </c>
    </row>
    <row r="43" spans="1:3" ht="14.4" customHeight="1" x14ac:dyDescent="0.3">
      <c r="A43" s="1" t="s">
        <v>2</v>
      </c>
      <c r="B43" s="1" t="s">
        <v>45</v>
      </c>
      <c r="C43" s="1">
        <v>41.491999999999997</v>
      </c>
    </row>
    <row r="44" spans="1:3" ht="14.4" customHeight="1" x14ac:dyDescent="0.3">
      <c r="A44" s="1" t="s">
        <v>30</v>
      </c>
      <c r="B44" s="1" t="s">
        <v>45</v>
      </c>
      <c r="C44" s="1">
        <v>117.249</v>
      </c>
    </row>
    <row r="45" spans="1:3" ht="14.4" customHeight="1" x14ac:dyDescent="0.3">
      <c r="A45" s="1" t="s">
        <v>31</v>
      </c>
      <c r="B45" s="1" t="s">
        <v>45</v>
      </c>
      <c r="C45" s="1">
        <v>512.62300000000005</v>
      </c>
    </row>
    <row r="46" spans="1:3" ht="14.4" customHeight="1" x14ac:dyDescent="0.3">
      <c r="A46" s="1" t="s">
        <v>22</v>
      </c>
      <c r="B46" s="1" t="s">
        <v>45</v>
      </c>
      <c r="C46" s="1">
        <v>1192.703</v>
      </c>
    </row>
    <row r="47" spans="1:3" ht="14.4" customHeight="1" x14ac:dyDescent="0.3">
      <c r="A47" s="1" t="s">
        <v>9</v>
      </c>
      <c r="B47" s="1" t="s">
        <v>45</v>
      </c>
      <c r="C47" s="1">
        <v>5082.0159999999996</v>
      </c>
    </row>
    <row r="48" spans="1:3" ht="14.4" customHeight="1" x14ac:dyDescent="0.3">
      <c r="A48" s="1" t="s">
        <v>47</v>
      </c>
      <c r="B48" s="1" t="s">
        <v>45</v>
      </c>
      <c r="C48" s="1">
        <v>3.875</v>
      </c>
    </row>
    <row r="49" spans="1:3" ht="14.4" customHeight="1" x14ac:dyDescent="0.3">
      <c r="A49" s="1" t="s">
        <v>48</v>
      </c>
      <c r="B49" s="1" t="s">
        <v>45</v>
      </c>
      <c r="C49" s="1">
        <v>2.5819999999999999</v>
      </c>
    </row>
    <row r="50" spans="1:3" ht="14.4" customHeight="1" x14ac:dyDescent="0.3">
      <c r="A50" s="1" t="s">
        <v>38</v>
      </c>
      <c r="B50" s="1" t="s">
        <v>45</v>
      </c>
      <c r="C50" s="1">
        <v>10.95</v>
      </c>
    </row>
    <row r="51" spans="1:3" ht="14.4" customHeight="1" x14ac:dyDescent="0.3">
      <c r="A51" s="1" t="s">
        <v>49</v>
      </c>
      <c r="B51" s="1" t="s">
        <v>45</v>
      </c>
      <c r="C51" s="1">
        <v>39.834000000000003</v>
      </c>
    </row>
    <row r="52" spans="1:3" ht="14.4" customHeight="1" x14ac:dyDescent="0.3">
      <c r="A52" s="1" t="s">
        <v>50</v>
      </c>
      <c r="B52" s="1" t="s">
        <v>45</v>
      </c>
      <c r="C52" s="1">
        <v>99.313999999999993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All_ANAE</vt:lpstr>
      <vt:lpstr>Major_&gt;1%</vt:lpstr>
      <vt:lpstr>Major_&gt;5%</vt:lpstr>
      <vt:lpstr>ANAE_all_formula</vt:lpstr>
      <vt:lpstr>oldbound_statevegesumm</vt:lpstr>
      <vt:lpstr>chowilla_renmark_original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2021-09-29T01:25:30Z</dcterms:created>
  <dcterms:modified xsi:type="dcterms:W3CDTF">2021-09-29T06:21:09Z</dcterms:modified>
</cp:coreProperties>
</file>