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sw-my.sharepoint.com/personal/z5204897_ad_unsw_edu_au1/Documents/Desktop/Honours_UNSW/Assessment/cumbung_assessment/raw/"/>
    </mc:Choice>
  </mc:AlternateContent>
  <xr:revisionPtr revIDLastSave="8" documentId="13_ncr:1_{B8ACA6EC-351E-41E1-8ECA-E48E20AB7765}" xr6:coauthVersionLast="47" xr6:coauthVersionMax="47" xr10:uidLastSave="{D1849417-9B76-4E46-BB81-687D45661EAE}"/>
  <bookViews>
    <workbookView xWindow="36" yWindow="384" windowWidth="19572" windowHeight="13164" activeTab="1" xr2:uid="{B853E129-E620-4025-A24F-201758402292}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Sheet2!$A$19:$E$28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2" l="1"/>
  <c r="D30" i="2"/>
  <c r="E30" i="2"/>
  <c r="B30" i="2"/>
  <c r="M4" i="1" l="1"/>
  <c r="L4" i="1"/>
  <c r="L2" i="1"/>
  <c r="J3" i="1"/>
  <c r="K3" i="1"/>
  <c r="L3" i="1"/>
  <c r="M3" i="1"/>
  <c r="J4" i="1"/>
  <c r="K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M2" i="1"/>
  <c r="K2" i="1"/>
  <c r="J2" i="1"/>
</calcChain>
</file>

<file path=xl/sharedStrings.xml><?xml version="1.0" encoding="utf-8"?>
<sst xmlns="http://schemas.openxmlformats.org/spreadsheetml/2006/main" count="207" uniqueCount="68">
  <si>
    <t>Dataset_start</t>
  </si>
  <si>
    <t>Dataset_end</t>
  </si>
  <si>
    <t>Flows_1st</t>
  </si>
  <si>
    <t>Flows_2nd</t>
  </si>
  <si>
    <t>Floods_1st</t>
  </si>
  <si>
    <t>Floods_2nd</t>
  </si>
  <si>
    <t>Notes</t>
  </si>
  <si>
    <t>Booligal</t>
  </si>
  <si>
    <t>Used data from 1946 onwards as 1945 had &lt;180 days data</t>
  </si>
  <si>
    <t>Flows_ch</t>
  </si>
  <si>
    <t>Flood_ch</t>
  </si>
  <si>
    <t>Floods_50yr</t>
  </si>
  <si>
    <t>Flows_50yr</t>
  </si>
  <si>
    <t>Flood_50yrcg</t>
  </si>
  <si>
    <t>Flows_50yrch</t>
  </si>
  <si>
    <t>Chowilla_flows2sa</t>
  </si>
  <si>
    <t>Chowilla_renmarkPS</t>
  </si>
  <si>
    <t>Dataset is less than 50 years old, so estimates are conservative</t>
  </si>
  <si>
    <t>Chowilla_ML10</t>
  </si>
  <si>
    <t>Dataset is less than 50 years old, so estimates are conservative; discharge dataset ends in 2019</t>
  </si>
  <si>
    <t>Cumbung_4mile</t>
  </si>
  <si>
    <t>Cumbung_corrong</t>
  </si>
  <si>
    <t>Dataset is only 12 years old so cannot be analysed in this way</t>
  </si>
  <si>
    <t>Cumbung_bool</t>
  </si>
  <si>
    <t>Gwydir_yarraman</t>
  </si>
  <si>
    <t>Only calculating based on data from 1971 onwards as data prior to this are incomplete and many years are missing; estimates are conservative underestimates (can I average 1930s data that are OK with 1970s?? Would be nice to be able to use the 1930s data)</t>
  </si>
  <si>
    <t>Hattah_colignan</t>
  </si>
  <si>
    <t>Water level (flood) data are only from 1976 onwards; dataset is less than 50 years (with 15 year averages) so estimates are conservative underestimates</t>
  </si>
  <si>
    <t>Hattah_barham</t>
  </si>
  <si>
    <t>Lowbidgee_redbank</t>
  </si>
  <si>
    <t>Data gap between 1993 and 2006; dataset is less than 50 years so estimates are conservative underestimates</t>
  </si>
  <si>
    <t>Lowbidgee_narrandera</t>
  </si>
  <si>
    <t>Discharge only as water level was poorly correlated with lowbidgee; data gap between 1934 and 1975 means that 50-year estimate is a conservative underestimate using only 35 years of data</t>
  </si>
  <si>
    <t>Macquarie</t>
  </si>
  <si>
    <t>Data gap from 1960 to 1972 so estimates are conservative underestimates</t>
  </si>
  <si>
    <t>Paroo_willara</t>
  </si>
  <si>
    <t>Yantabulla_turra</t>
  </si>
  <si>
    <t>Dataset is very short, so estimates are very conservative</t>
  </si>
  <si>
    <t>Yantabulla_wyandra</t>
  </si>
  <si>
    <t>Lots of missing data so many years were excluded; conservative underestimates; discharge data only</t>
  </si>
  <si>
    <t>Wetland_complex</t>
  </si>
  <si>
    <t>Flood change in last 50 years (%)</t>
  </si>
  <si>
    <t>Flood change since start of data (%)</t>
  </si>
  <si>
    <t>Gwydir</t>
  </si>
  <si>
    <t>Macquarie Marshes</t>
  </si>
  <si>
    <t>Great Cumbung</t>
  </si>
  <si>
    <t>Booligal wetlands</t>
  </si>
  <si>
    <t>Chowilla Lindsay Walpolla</t>
  </si>
  <si>
    <t>Hattah Lakes</t>
  </si>
  <si>
    <t>Lowbidgee</t>
  </si>
  <si>
    <t>Paroo Overflow Swamps</t>
  </si>
  <si>
    <t>Yantabulla</t>
  </si>
  <si>
    <t>Flow change in last 50 years (%)</t>
  </si>
  <si>
    <t>Flow change since start of data (%)</t>
  </si>
  <si>
    <t>Average</t>
  </si>
  <si>
    <t>Values</t>
  </si>
  <si>
    <t>Type</t>
  </si>
  <si>
    <t>Time</t>
  </si>
  <si>
    <t>All</t>
  </si>
  <si>
    <t>Flow</t>
  </si>
  <si>
    <t>Recent</t>
  </si>
  <si>
    <t>Flood</t>
  </si>
  <si>
    <t>Great Cumbung Swamp</t>
  </si>
  <si>
    <t>Booligal Wetlands</t>
  </si>
  <si>
    <t>Murray Riverland Wetlands</t>
  </si>
  <si>
    <t>Gwydir Wetlands</t>
  </si>
  <si>
    <t>Lowbidgee Wetlands</t>
  </si>
  <si>
    <t>Yantabulla Swamps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</si>
</sst>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Sheet2!$D$19</c:f>
              <c:strCache>
                <c:ptCount val="1"/>
                <c:pt idx="0">
                  <c:v>Flood change in last 50 years (%)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9525" cap="flat" cmpd="sng" algn="ctr">
              <a:solidFill>
                <a:schemeClr val="bg1">
                  <a:lumMod val="75000"/>
                </a:schemeClr>
              </a:solidFill>
              <a:miter lim="800000"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5.038021154078128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37-486F-AFAF-943D2D0B443E}"/>
                </c:ext>
              </c:extLst>
            </c:dLbl>
            <c:dLbl>
              <c:idx val="1"/>
              <c:layout>
                <c:manualLayout>
                  <c:x val="0"/>
                  <c:y val="5.317801975183590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37-486F-AFAF-943D2D0B443E}"/>
                </c:ext>
              </c:extLst>
            </c:dLbl>
            <c:dLbl>
              <c:idx val="2"/>
              <c:layout>
                <c:manualLayout>
                  <c:x val="0"/>
                  <c:y val="5.291821112890136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C-42AF-B25C-BC987152AFA6}"/>
                </c:ext>
              </c:extLst>
            </c:dLbl>
            <c:dLbl>
              <c:idx val="3"/>
              <c:layout>
                <c:manualLayout>
                  <c:x val="1.675202283973432E-3"/>
                  <c:y val="5.571030640668533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137-486F-AFAF-943D2D0B443E}"/>
                </c:ext>
              </c:extLst>
            </c:dLbl>
            <c:dLbl>
              <c:idx val="4"/>
              <c:layout>
                <c:manualLayout>
                  <c:x val="-1.675202283973432E-3"/>
                  <c:y val="5.317821914448589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CC9-4CA4-948F-62D280390E76}"/>
                </c:ext>
              </c:extLst>
            </c:dLbl>
            <c:dLbl>
              <c:idx val="5"/>
              <c:layout>
                <c:manualLayout>
                  <c:x val="0"/>
                  <c:y val="6.077487971638389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CC9-4CA4-948F-62D280390E76}"/>
                </c:ext>
              </c:extLst>
            </c:dLbl>
            <c:dLbl>
              <c:idx val="6"/>
              <c:layout>
                <c:manualLayout>
                  <c:x val="-1.2257597500888447E-16"/>
                  <c:y val="5.795230174400518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C9-4CA4-948F-62D280390E76}"/>
                </c:ext>
              </c:extLst>
            </c:dLbl>
            <c:dLbl>
              <c:idx val="7"/>
              <c:layout>
                <c:manualLayout>
                  <c:x val="0"/>
                  <c:y val="3.77053031216867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6DC-42AF-B25C-BC987152AFA6}"/>
                </c:ext>
              </c:extLst>
            </c:dLbl>
            <c:dLbl>
              <c:idx val="8"/>
              <c:layout>
                <c:manualLayout>
                  <c:x val="1.675202283973432E-3"/>
                  <c:y val="5.06457330969865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CC9-4CA4-948F-62D280390E7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Sheet2!$A$20:$A$28</c:f>
              <c:strCache>
                <c:ptCount val="9"/>
                <c:pt idx="0">
                  <c:v>Booligal Wetlands</c:v>
                </c:pt>
                <c:pt idx="1">
                  <c:v>Lowbidgee Wetlands</c:v>
                </c:pt>
                <c:pt idx="2">
                  <c:v>Great Cumbung Swamp</c:v>
                </c:pt>
                <c:pt idx="3">
                  <c:v>Gwydir Wetlands</c:v>
                </c:pt>
                <c:pt idx="4">
                  <c:v>Macquarie Marshes</c:v>
                </c:pt>
                <c:pt idx="5">
                  <c:v>Hattah Lakes</c:v>
                </c:pt>
                <c:pt idx="6">
                  <c:v>Paroo Overflow Swamps</c:v>
                </c:pt>
                <c:pt idx="7">
                  <c:v>Murray Riverland Wetlands</c:v>
                </c:pt>
                <c:pt idx="8">
                  <c:v>Yantabulla Swamps</c:v>
                </c:pt>
              </c:strCache>
            </c:strRef>
          </c:cat>
          <c:val>
            <c:numRef>
              <c:f>Sheet2!$D$20:$D$28</c:f>
              <c:numCache>
                <c:formatCode>General</c:formatCode>
                <c:ptCount val="9"/>
                <c:pt idx="0">
                  <c:v>-92</c:v>
                </c:pt>
                <c:pt idx="1">
                  <c:v>-91</c:v>
                </c:pt>
                <c:pt idx="2">
                  <c:v>-83</c:v>
                </c:pt>
                <c:pt idx="3">
                  <c:v>-79</c:v>
                </c:pt>
                <c:pt idx="4">
                  <c:v>-56</c:v>
                </c:pt>
                <c:pt idx="5">
                  <c:v>-48</c:v>
                </c:pt>
                <c:pt idx="6">
                  <c:v>-31</c:v>
                </c:pt>
                <c:pt idx="7">
                  <c:v>3</c:v>
                </c:pt>
                <c:pt idx="8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36-4873-A90F-1506C6E2ED84}"/>
            </c:ext>
          </c:extLst>
        </c:ser>
        <c:ser>
          <c:idx val="1"/>
          <c:order val="1"/>
          <c:tx>
            <c:strRef>
              <c:f>Sheet2!$B$19</c:f>
              <c:strCache>
                <c:ptCount val="1"/>
                <c:pt idx="0">
                  <c:v>Flow change in last 50 years (%)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 w="9525" cap="flat" cmpd="sng" algn="ctr">
              <a:solidFill>
                <a:schemeClr val="bg1">
                  <a:lumMod val="85000"/>
                </a:schemeClr>
              </a:solidFill>
              <a:miter lim="800000"/>
            </a:ln>
            <a:effectLst/>
          </c:spPr>
          <c:invertIfNegative val="0"/>
          <c:dLbls>
            <c:dLbl>
              <c:idx val="0"/>
              <c:layout>
                <c:manualLayout>
                  <c:x val="1.675202283973432E-3"/>
                  <c:y val="6.05152704860994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37-486F-AFAF-943D2D0B443E}"/>
                </c:ext>
              </c:extLst>
            </c:dLbl>
            <c:dLbl>
              <c:idx val="1"/>
              <c:layout>
                <c:manualLayout>
                  <c:x val="0"/>
                  <c:y val="5.571030640668523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137-486F-AFAF-943D2D0B443E}"/>
                </c:ext>
              </c:extLst>
            </c:dLbl>
            <c:dLbl>
              <c:idx val="2"/>
              <c:layout>
                <c:manualLayout>
                  <c:x val="-6.1423374177632552E-17"/>
                  <c:y val="5.036698217230316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6DC-42AF-B25C-BC987152AFA6}"/>
                </c:ext>
              </c:extLst>
            </c:dLbl>
            <c:dLbl>
              <c:idx val="3"/>
              <c:layout>
                <c:manualLayout>
                  <c:x val="1.675202283973432E-3"/>
                  <c:y val="5.31780197518360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CC9-4CA4-948F-62D280390E76}"/>
                </c:ext>
              </c:extLst>
            </c:dLbl>
            <c:dLbl>
              <c:idx val="4"/>
              <c:layout>
                <c:manualLayout>
                  <c:x val="6.1423374177632552E-17"/>
                  <c:y val="6.33071663712333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137-486F-AFAF-943D2D0B443E}"/>
                </c:ext>
              </c:extLst>
            </c:dLbl>
            <c:dLbl>
              <c:idx val="5"/>
              <c:layout>
                <c:manualLayout>
                  <c:x val="0"/>
                  <c:y val="5.571050579933532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CC9-4CA4-948F-62D280390E76}"/>
                </c:ext>
              </c:extLst>
            </c:dLbl>
            <c:dLbl>
              <c:idx val="6"/>
              <c:layout>
                <c:manualLayout>
                  <c:x val="-1.2257597500888447E-16"/>
                  <c:y val="5.543263645078765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CC9-4CA4-948F-62D280390E76}"/>
                </c:ext>
              </c:extLst>
            </c:dLbl>
            <c:dLbl>
              <c:idx val="7"/>
              <c:layout>
                <c:manualLayout>
                  <c:x val="-1.228467483552651E-16"/>
                  <c:y val="5.317801975183590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CC9-4CA4-948F-62D280390E76}"/>
                </c:ext>
              </c:extLst>
            </c:dLbl>
            <c:dLbl>
              <c:idx val="8"/>
              <c:layout>
                <c:manualLayout>
                  <c:x val="1.2257597500888447E-16"/>
                  <c:y val="1.515608433696694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6DC-42AF-B25C-BC987152AFA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Sheet2!$A$20:$A$28</c:f>
              <c:strCache>
                <c:ptCount val="9"/>
                <c:pt idx="0">
                  <c:v>Booligal Wetlands</c:v>
                </c:pt>
                <c:pt idx="1">
                  <c:v>Lowbidgee Wetlands</c:v>
                </c:pt>
                <c:pt idx="2">
                  <c:v>Great Cumbung Swamp</c:v>
                </c:pt>
                <c:pt idx="3">
                  <c:v>Gwydir Wetlands</c:v>
                </c:pt>
                <c:pt idx="4">
                  <c:v>Macquarie Marshes</c:v>
                </c:pt>
                <c:pt idx="5">
                  <c:v>Hattah Lakes</c:v>
                </c:pt>
                <c:pt idx="6">
                  <c:v>Paroo Overflow Swamps</c:v>
                </c:pt>
                <c:pt idx="7">
                  <c:v>Murray Riverland Wetlands</c:v>
                </c:pt>
                <c:pt idx="8">
                  <c:v>Yantabulla Swamps</c:v>
                </c:pt>
              </c:strCache>
            </c:strRef>
          </c:cat>
          <c:val>
            <c:numRef>
              <c:f>Sheet2!$B$20:$B$28</c:f>
              <c:numCache>
                <c:formatCode>General</c:formatCode>
                <c:ptCount val="9"/>
                <c:pt idx="0">
                  <c:v>-73</c:v>
                </c:pt>
                <c:pt idx="1">
                  <c:v>-41</c:v>
                </c:pt>
                <c:pt idx="2">
                  <c:v>-62</c:v>
                </c:pt>
                <c:pt idx="3">
                  <c:v>-67</c:v>
                </c:pt>
                <c:pt idx="4">
                  <c:v>-61</c:v>
                </c:pt>
                <c:pt idx="5">
                  <c:v>-37</c:v>
                </c:pt>
                <c:pt idx="6">
                  <c:v>-63</c:v>
                </c:pt>
                <c:pt idx="7">
                  <c:v>-47</c:v>
                </c:pt>
                <c:pt idx="8">
                  <c:v>-72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36-4873-A90F-1506C6E2ED8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62416592"/>
        <c:axId val="162423664"/>
      </c:barChart>
      <c:catAx>
        <c:axId val="1624165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2423664"/>
        <c:crosses val="autoZero"/>
        <c:auto val="1"/>
        <c:lblAlgn val="ctr"/>
        <c:lblOffset val="100"/>
        <c:noMultiLvlLbl val="0"/>
      </c:catAx>
      <c:valAx>
        <c:axId val="1624236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16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chemeClr val="tx1"/>
                </a:solidFill>
              </a:rPr>
              <a:t>Flow frequency change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Sheet2!$B$19</c:f>
              <c:strCache>
                <c:ptCount val="1"/>
                <c:pt idx="0">
                  <c:v>Flow change in last 50 years (%)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Sheet2!$A$20:$A$28</c:f>
              <c:strCache>
                <c:ptCount val="9"/>
                <c:pt idx="0">
                  <c:v>Booligal Wetlands</c:v>
                </c:pt>
                <c:pt idx="1">
                  <c:v>Lowbidgee Wetlands</c:v>
                </c:pt>
                <c:pt idx="2">
                  <c:v>Great Cumbung Swamp</c:v>
                </c:pt>
                <c:pt idx="3">
                  <c:v>Gwydir Wetlands</c:v>
                </c:pt>
                <c:pt idx="4">
                  <c:v>Macquarie Marshes</c:v>
                </c:pt>
                <c:pt idx="5">
                  <c:v>Hattah Lakes</c:v>
                </c:pt>
                <c:pt idx="6">
                  <c:v>Paroo Overflow Swamps</c:v>
                </c:pt>
                <c:pt idx="7">
                  <c:v>Murray Riverland Wetlands</c:v>
                </c:pt>
                <c:pt idx="8">
                  <c:v>Yantabulla Swamps</c:v>
                </c:pt>
              </c:strCache>
            </c:strRef>
          </c:cat>
          <c:val>
            <c:numRef>
              <c:f>Sheet2!$B$20:$B$28</c:f>
              <c:numCache>
                <c:formatCode>General</c:formatCode>
                <c:ptCount val="9"/>
                <c:pt idx="0">
                  <c:v>-73</c:v>
                </c:pt>
                <c:pt idx="1">
                  <c:v>-41</c:v>
                </c:pt>
                <c:pt idx="2">
                  <c:v>-62</c:v>
                </c:pt>
                <c:pt idx="3">
                  <c:v>-67</c:v>
                </c:pt>
                <c:pt idx="4">
                  <c:v>-61</c:v>
                </c:pt>
                <c:pt idx="5">
                  <c:v>-37</c:v>
                </c:pt>
                <c:pt idx="6">
                  <c:v>-63</c:v>
                </c:pt>
                <c:pt idx="7">
                  <c:v>-47</c:v>
                </c:pt>
                <c:pt idx="8">
                  <c:v>-72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11-4C55-AE8E-7A846E7B68E7}"/>
            </c:ext>
          </c:extLst>
        </c:ser>
        <c:ser>
          <c:idx val="1"/>
          <c:order val="1"/>
          <c:tx>
            <c:strRef>
              <c:f>Sheet2!$C$19</c:f>
              <c:strCache>
                <c:ptCount val="1"/>
                <c:pt idx="0">
                  <c:v>Flow change since start of data (%)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Sheet2!$A$20:$A$28</c:f>
              <c:strCache>
                <c:ptCount val="9"/>
                <c:pt idx="0">
                  <c:v>Booligal Wetlands</c:v>
                </c:pt>
                <c:pt idx="1">
                  <c:v>Lowbidgee Wetlands</c:v>
                </c:pt>
                <c:pt idx="2">
                  <c:v>Great Cumbung Swamp</c:v>
                </c:pt>
                <c:pt idx="3">
                  <c:v>Gwydir Wetlands</c:v>
                </c:pt>
                <c:pt idx="4">
                  <c:v>Macquarie Marshes</c:v>
                </c:pt>
                <c:pt idx="5">
                  <c:v>Hattah Lakes</c:v>
                </c:pt>
                <c:pt idx="6">
                  <c:v>Paroo Overflow Swamps</c:v>
                </c:pt>
                <c:pt idx="7">
                  <c:v>Murray Riverland Wetlands</c:v>
                </c:pt>
                <c:pt idx="8">
                  <c:v>Yantabulla Swamps</c:v>
                </c:pt>
              </c:strCache>
            </c:strRef>
          </c:cat>
          <c:val>
            <c:numRef>
              <c:f>Sheet2!$C$20:$C$28</c:f>
              <c:numCache>
                <c:formatCode>General</c:formatCode>
                <c:ptCount val="9"/>
                <c:pt idx="0">
                  <c:v>-86</c:v>
                </c:pt>
                <c:pt idx="1">
                  <c:v>-66</c:v>
                </c:pt>
                <c:pt idx="2">
                  <c:v>-71</c:v>
                </c:pt>
                <c:pt idx="3">
                  <c:v>-67</c:v>
                </c:pt>
                <c:pt idx="4">
                  <c:v>-92</c:v>
                </c:pt>
                <c:pt idx="5">
                  <c:v>-56</c:v>
                </c:pt>
                <c:pt idx="6">
                  <c:v>-63</c:v>
                </c:pt>
                <c:pt idx="7">
                  <c:v>-77</c:v>
                </c:pt>
                <c:pt idx="8">
                  <c:v>-72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11-4C55-AE8E-7A846E7B68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62416592"/>
        <c:axId val="162423664"/>
      </c:barChart>
      <c:catAx>
        <c:axId val="162416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effectLst>
                  <a:glow rad="127000">
                    <a:schemeClr val="bg1"/>
                  </a:glo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23664"/>
        <c:crosses val="autoZero"/>
        <c:auto val="1"/>
        <c:lblAlgn val="ctr"/>
        <c:lblOffset val="100"/>
        <c:noMultiLvlLbl val="0"/>
      </c:catAx>
      <c:valAx>
        <c:axId val="1624236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1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chemeClr val="tx1"/>
                </a:solidFill>
              </a:rPr>
              <a:t>Flood frequency change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Sheet2!$D$19</c:f>
              <c:strCache>
                <c:ptCount val="1"/>
                <c:pt idx="0">
                  <c:v>Flood change in last 50 years (%)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 w="9525" cap="flat" cmpd="sng" algn="ctr">
              <a:solidFill>
                <a:schemeClr val="tx1">
                  <a:lumMod val="50000"/>
                  <a:lumOff val="50000"/>
                </a:schemeClr>
              </a:solidFill>
              <a:miter lim="800000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Sheet2!$A$20:$A$28</c:f>
              <c:strCache>
                <c:ptCount val="9"/>
                <c:pt idx="0">
                  <c:v>Booligal Wetlands</c:v>
                </c:pt>
                <c:pt idx="1">
                  <c:v>Lowbidgee Wetlands</c:v>
                </c:pt>
                <c:pt idx="2">
                  <c:v>Great Cumbung Swamp</c:v>
                </c:pt>
                <c:pt idx="3">
                  <c:v>Gwydir Wetlands</c:v>
                </c:pt>
                <c:pt idx="4">
                  <c:v>Macquarie Marshes</c:v>
                </c:pt>
                <c:pt idx="5">
                  <c:v>Hattah Lakes</c:v>
                </c:pt>
                <c:pt idx="6">
                  <c:v>Paroo Overflow Swamps</c:v>
                </c:pt>
                <c:pt idx="7">
                  <c:v>Murray Riverland Wetlands</c:v>
                </c:pt>
                <c:pt idx="8">
                  <c:v>Yantabulla Swamps</c:v>
                </c:pt>
              </c:strCache>
            </c:strRef>
          </c:cat>
          <c:val>
            <c:numRef>
              <c:f>Sheet2!$D$20:$D$28</c:f>
              <c:numCache>
                <c:formatCode>General</c:formatCode>
                <c:ptCount val="9"/>
                <c:pt idx="0">
                  <c:v>-92</c:v>
                </c:pt>
                <c:pt idx="1">
                  <c:v>-91</c:v>
                </c:pt>
                <c:pt idx="2">
                  <c:v>-83</c:v>
                </c:pt>
                <c:pt idx="3">
                  <c:v>-79</c:v>
                </c:pt>
                <c:pt idx="4">
                  <c:v>-56</c:v>
                </c:pt>
                <c:pt idx="5">
                  <c:v>-48</c:v>
                </c:pt>
                <c:pt idx="6">
                  <c:v>-31</c:v>
                </c:pt>
                <c:pt idx="7">
                  <c:v>3</c:v>
                </c:pt>
                <c:pt idx="8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4D-4532-B375-B2286A168E4A}"/>
            </c:ext>
          </c:extLst>
        </c:ser>
        <c:ser>
          <c:idx val="1"/>
          <c:order val="1"/>
          <c:tx>
            <c:strRef>
              <c:f>Sheet2!$E$19</c:f>
              <c:strCache>
                <c:ptCount val="1"/>
                <c:pt idx="0">
                  <c:v>Flood change since start of data (%)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9525" cap="flat" cmpd="sng" algn="ctr">
              <a:solidFill>
                <a:schemeClr val="bg1">
                  <a:lumMod val="85000"/>
                </a:schemeClr>
              </a:solidFill>
              <a:miter lim="800000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Sheet2!$A$20:$A$28</c:f>
              <c:strCache>
                <c:ptCount val="9"/>
                <c:pt idx="0">
                  <c:v>Booligal Wetlands</c:v>
                </c:pt>
                <c:pt idx="1">
                  <c:v>Lowbidgee Wetlands</c:v>
                </c:pt>
                <c:pt idx="2">
                  <c:v>Great Cumbung Swamp</c:v>
                </c:pt>
                <c:pt idx="3">
                  <c:v>Gwydir Wetlands</c:v>
                </c:pt>
                <c:pt idx="4">
                  <c:v>Macquarie Marshes</c:v>
                </c:pt>
                <c:pt idx="5">
                  <c:v>Hattah Lakes</c:v>
                </c:pt>
                <c:pt idx="6">
                  <c:v>Paroo Overflow Swamps</c:v>
                </c:pt>
                <c:pt idx="7">
                  <c:v>Murray Riverland Wetlands</c:v>
                </c:pt>
                <c:pt idx="8">
                  <c:v>Yantabulla Swamps</c:v>
                </c:pt>
              </c:strCache>
            </c:strRef>
          </c:cat>
          <c:val>
            <c:numRef>
              <c:f>Sheet2!$E$20:$E$28</c:f>
              <c:numCache>
                <c:formatCode>General</c:formatCode>
                <c:ptCount val="9"/>
                <c:pt idx="0">
                  <c:v>-94</c:v>
                </c:pt>
                <c:pt idx="1">
                  <c:v>-91</c:v>
                </c:pt>
                <c:pt idx="2">
                  <c:v>-88</c:v>
                </c:pt>
                <c:pt idx="3">
                  <c:v>-79</c:v>
                </c:pt>
                <c:pt idx="4">
                  <c:v>-56</c:v>
                </c:pt>
                <c:pt idx="5">
                  <c:v>-67</c:v>
                </c:pt>
                <c:pt idx="6">
                  <c:v>-31</c:v>
                </c:pt>
                <c:pt idx="7">
                  <c:v>3</c:v>
                </c:pt>
                <c:pt idx="8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4D-4532-B375-B2286A168E4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62416592"/>
        <c:axId val="162423664"/>
      </c:barChart>
      <c:catAx>
        <c:axId val="162416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effectLst>
                  <a:glow rad="127000">
                    <a:schemeClr val="bg1"/>
                  </a:glo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23664"/>
        <c:crosses val="autoZero"/>
        <c:auto val="1"/>
        <c:lblAlgn val="ctr"/>
        <c:lblOffset val="100"/>
        <c:noMultiLvlLbl val="0"/>
      </c:catAx>
      <c:valAx>
        <c:axId val="1624236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41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84106</xdr:colOff>
      <xdr:row>29</xdr:row>
      <xdr:rowOff>50678</xdr:rowOff>
    </xdr:from>
    <xdr:to>
      <xdr:col>25</xdr:col>
      <xdr:colOff>335566</xdr:colOff>
      <xdr:row>56</xdr:row>
      <xdr:rowOff>167337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ADC5FFA3-A798-4366-BAFF-B823C5768916}"/>
            </a:ext>
          </a:extLst>
        </xdr:cNvPr>
        <xdr:cNvGrpSpPr/>
      </xdr:nvGrpSpPr>
      <xdr:grpSpPr>
        <a:xfrm>
          <a:off x="8042773" y="5339088"/>
          <a:ext cx="7597921" cy="5040352"/>
          <a:chOff x="548026" y="5948147"/>
          <a:chExt cx="7566660" cy="5055870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10B26254-1672-4AAD-B4A9-6F2633E0DDA5}"/>
              </a:ext>
            </a:extLst>
          </xdr:cNvPr>
          <xdr:cNvGraphicFramePr/>
        </xdr:nvGraphicFramePr>
        <xdr:xfrm>
          <a:off x="548026" y="5948147"/>
          <a:ext cx="7566660" cy="505587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cxnSp macro="">
        <xdr:nvCxnSpPr>
          <xdr:cNvPr id="20" name="Straight Connector 19">
            <a:extLst>
              <a:ext uri="{FF2B5EF4-FFF2-40B4-BE49-F238E27FC236}">
                <a16:creationId xmlns:a16="http://schemas.microsoft.com/office/drawing/2014/main" id="{08C5C046-397A-418F-A5D2-88D9CA5AE375}"/>
              </a:ext>
            </a:extLst>
          </xdr:cNvPr>
          <xdr:cNvCxnSpPr/>
        </xdr:nvCxnSpPr>
        <xdr:spPr>
          <a:xfrm>
            <a:off x="1119355" y="6896843"/>
            <a:ext cx="6901705" cy="8128"/>
          </a:xfrm>
          <a:prstGeom prst="line">
            <a:avLst/>
          </a:prstGeom>
          <a:ln w="12700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16</xdr:col>
      <xdr:colOff>1979</xdr:colOff>
      <xdr:row>43</xdr:row>
      <xdr:rowOff>58463</xdr:rowOff>
    </xdr:from>
    <xdr:to>
      <xdr:col>16</xdr:col>
      <xdr:colOff>130256</xdr:colOff>
      <xdr:row>49</xdr:row>
      <xdr:rowOff>24657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D56C6967-4154-4F51-87D0-F803A6DCD6DD}"/>
            </a:ext>
          </a:extLst>
        </xdr:cNvPr>
        <xdr:cNvSpPr/>
      </xdr:nvSpPr>
      <xdr:spPr>
        <a:xfrm>
          <a:off x="9797261" y="7899899"/>
          <a:ext cx="128277" cy="1060348"/>
        </a:xfrm>
        <a:prstGeom prst="rect">
          <a:avLst/>
        </a:prstGeom>
        <a:solidFill>
          <a:schemeClr val="bg1">
            <a:lumMod val="65000"/>
            <a:alpha val="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0</xdr:col>
      <xdr:colOff>213732</xdr:colOff>
      <xdr:row>32</xdr:row>
      <xdr:rowOff>0</xdr:rowOff>
    </xdr:from>
    <xdr:to>
      <xdr:col>12</xdr:col>
      <xdr:colOff>465192</xdr:colOff>
      <xdr:row>59</xdr:row>
      <xdr:rowOff>121084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422E1F86-68AD-4F4C-B828-AFAA4F3702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0</xdr:colOff>
      <xdr:row>30</xdr:row>
      <xdr:rowOff>0</xdr:rowOff>
    </xdr:from>
    <xdr:to>
      <xdr:col>38</xdr:col>
      <xdr:colOff>251460</xdr:colOff>
      <xdr:row>57</xdr:row>
      <xdr:rowOff>121084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30276186-0690-4954-9C21-8AA60F4B98C5}"/>
            </a:ext>
          </a:extLst>
        </xdr:cNvPr>
        <xdr:cNvGrpSpPr/>
      </xdr:nvGrpSpPr>
      <xdr:grpSpPr>
        <a:xfrm>
          <a:off x="15917333" y="5470769"/>
          <a:ext cx="7597922" cy="5044777"/>
          <a:chOff x="548026" y="5948147"/>
          <a:chExt cx="7566660" cy="5055870"/>
        </a:xfrm>
      </xdr:grpSpPr>
      <xdr:grpSp>
        <xdr:nvGrpSpPr>
          <xdr:cNvPr id="12" name="Group 11">
            <a:extLst>
              <a:ext uri="{FF2B5EF4-FFF2-40B4-BE49-F238E27FC236}">
                <a16:creationId xmlns:a16="http://schemas.microsoft.com/office/drawing/2014/main" id="{26B34A45-F13C-4487-8207-1D60210FE958}"/>
              </a:ext>
            </a:extLst>
          </xdr:cNvPr>
          <xdr:cNvGrpSpPr/>
        </xdr:nvGrpSpPr>
        <xdr:grpSpPr>
          <a:xfrm>
            <a:off x="548026" y="5948147"/>
            <a:ext cx="7566660" cy="5055870"/>
            <a:chOff x="418486" y="1501877"/>
            <a:chExt cx="7566660" cy="5055870"/>
          </a:xfrm>
        </xdr:grpSpPr>
        <xdr:graphicFrame macro="">
          <xdr:nvGraphicFramePr>
            <xdr:cNvPr id="18" name="Chart 17">
              <a:extLst>
                <a:ext uri="{FF2B5EF4-FFF2-40B4-BE49-F238E27FC236}">
                  <a16:creationId xmlns:a16="http://schemas.microsoft.com/office/drawing/2014/main" id="{7E72D9FB-F234-489E-A8B8-D7AC7B600321}"/>
                </a:ext>
              </a:extLst>
            </xdr:cNvPr>
            <xdr:cNvGraphicFramePr/>
          </xdr:nvGraphicFramePr>
          <xdr:xfrm>
            <a:off x="418486" y="1501877"/>
            <a:ext cx="7566660" cy="505587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cxnSp macro="">
          <xdr:nvCxnSpPr>
            <xdr:cNvPr id="19" name="Straight Connector 18">
              <a:extLst>
                <a:ext uri="{FF2B5EF4-FFF2-40B4-BE49-F238E27FC236}">
                  <a16:creationId xmlns:a16="http://schemas.microsoft.com/office/drawing/2014/main" id="{D9B3F7AF-1288-4106-ACE7-C4A6773A955B}"/>
                </a:ext>
              </a:extLst>
            </xdr:cNvPr>
            <xdr:cNvCxnSpPr/>
          </xdr:nvCxnSpPr>
          <xdr:spPr>
            <a:xfrm>
              <a:off x="763003" y="4933166"/>
              <a:ext cx="7078980" cy="0"/>
            </a:xfrm>
            <a:prstGeom prst="line">
              <a:avLst/>
            </a:prstGeom>
            <a:ln>
              <a:solidFill>
                <a:schemeClr val="bg2">
                  <a:lumMod val="25000"/>
                </a:schemeClr>
              </a:solidFill>
            </a:ln>
            <a:effectLst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3" name="Straight Connector 22">
              <a:extLst>
                <a:ext uri="{FF2B5EF4-FFF2-40B4-BE49-F238E27FC236}">
                  <a16:creationId xmlns:a16="http://schemas.microsoft.com/office/drawing/2014/main" id="{7210386E-79E8-4403-8578-E84F799B41D6}"/>
                </a:ext>
              </a:extLst>
            </xdr:cNvPr>
            <xdr:cNvCxnSpPr/>
          </xdr:nvCxnSpPr>
          <xdr:spPr>
            <a:xfrm>
              <a:off x="755383" y="5119855"/>
              <a:ext cx="7078980" cy="19050"/>
            </a:xfrm>
            <a:prstGeom prst="line">
              <a:avLst/>
            </a:prstGeom>
            <a:ln>
              <a:solidFill>
                <a:schemeClr val="bg1">
                  <a:lumMod val="75000"/>
                </a:schemeClr>
              </a:solidFill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9A8C6B87-BC1D-4B99-B364-1E20750F05F6}"/>
                </a:ext>
              </a:extLst>
            </xdr:cNvPr>
            <xdr:cNvSpPr txBox="1"/>
          </xdr:nvSpPr>
          <xdr:spPr>
            <a:xfrm>
              <a:off x="6843763" y="4681706"/>
              <a:ext cx="1080937" cy="264560"/>
            </a:xfrm>
            <a:prstGeom prst="rect">
              <a:avLst/>
            </a:prstGeom>
            <a:noFill/>
            <a:effectLst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AU" sz="1100">
                  <a:solidFill>
                    <a:schemeClr val="tx1"/>
                  </a:solidFill>
                </a:rPr>
                <a:t>Average = -39.6</a:t>
              </a:r>
            </a:p>
          </xdr:txBody>
        </xdr:sp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E0D4294-DC4C-4DE7-85E2-3780C76E0776}"/>
                </a:ext>
              </a:extLst>
            </xdr:cNvPr>
            <xdr:cNvSpPr txBox="1"/>
          </xdr:nvSpPr>
          <xdr:spPr>
            <a:xfrm>
              <a:off x="6851384" y="5108425"/>
              <a:ext cx="1080937" cy="2645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AU" sz="1100">
                  <a:solidFill>
                    <a:schemeClr val="tx1"/>
                  </a:solidFill>
                </a:rPr>
                <a:t>Average = -45.6</a:t>
              </a:r>
            </a:p>
          </xdr:txBody>
        </xdr:sp>
      </xdr:grpSp>
      <xdr:cxnSp macro="">
        <xdr:nvCxnSpPr>
          <xdr:cNvPr id="13" name="Straight Connector 12">
            <a:extLst>
              <a:ext uri="{FF2B5EF4-FFF2-40B4-BE49-F238E27FC236}">
                <a16:creationId xmlns:a16="http://schemas.microsoft.com/office/drawing/2014/main" id="{D2847DBE-9968-4D97-8E65-0D2581916C42}"/>
              </a:ext>
            </a:extLst>
          </xdr:cNvPr>
          <xdr:cNvCxnSpPr/>
        </xdr:nvCxnSpPr>
        <xdr:spPr>
          <a:xfrm>
            <a:off x="884923" y="7882105"/>
            <a:ext cx="7078980" cy="0"/>
          </a:xfrm>
          <a:prstGeom prst="line">
            <a:avLst/>
          </a:prstGeom>
          <a:ln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265969</xdr:colOff>
      <xdr:row>54</xdr:row>
      <xdr:rowOff>59545</xdr:rowOff>
    </xdr:from>
    <xdr:to>
      <xdr:col>14</xdr:col>
      <xdr:colOff>397282</xdr:colOff>
      <xdr:row>54</xdr:row>
      <xdr:rowOff>156307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236FDD1-AE6F-4F0C-AB04-66684432A64F}"/>
            </a:ext>
          </a:extLst>
        </xdr:cNvPr>
        <xdr:cNvSpPr/>
      </xdr:nvSpPr>
      <xdr:spPr>
        <a:xfrm>
          <a:off x="8836841" y="9906930"/>
          <a:ext cx="131313" cy="96762"/>
        </a:xfrm>
        <a:prstGeom prst="rect">
          <a:avLst/>
        </a:prstGeom>
        <a:solidFill>
          <a:schemeClr val="bg1">
            <a:lumMod val="65000"/>
            <a:alpha val="0"/>
          </a:schemeClr>
        </a:solidFill>
        <a:ln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14</xdr:col>
      <xdr:colOff>107268</xdr:colOff>
      <xdr:row>54</xdr:row>
      <xdr:rowOff>95819</xdr:rowOff>
    </xdr:from>
    <xdr:to>
      <xdr:col>14</xdr:col>
      <xdr:colOff>567694</xdr:colOff>
      <xdr:row>55</xdr:row>
      <xdr:rowOff>136088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581E98A-C6BB-4826-9438-8B6767E38159}"/>
            </a:ext>
          </a:extLst>
        </xdr:cNvPr>
        <xdr:cNvSpPr txBox="1"/>
      </xdr:nvSpPr>
      <xdr:spPr>
        <a:xfrm>
          <a:off x="8678140" y="9943204"/>
          <a:ext cx="460426" cy="2226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400"/>
            <a:t>-94</a:t>
          </a:r>
        </a:p>
      </xdr:txBody>
    </xdr:sp>
    <xdr:clientData/>
  </xdr:twoCellAnchor>
  <xdr:twoCellAnchor>
    <xdr:from>
      <xdr:col>14</xdr:col>
      <xdr:colOff>453106</xdr:colOff>
      <xdr:row>50</xdr:row>
      <xdr:rowOff>41869</xdr:rowOff>
    </xdr:from>
    <xdr:to>
      <xdr:col>14</xdr:col>
      <xdr:colOff>592666</xdr:colOff>
      <xdr:row>52</xdr:row>
      <xdr:rowOff>120487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E1D913A8-69E5-4544-82B6-7FE5359104F2}"/>
            </a:ext>
          </a:extLst>
        </xdr:cNvPr>
        <xdr:cNvSpPr/>
      </xdr:nvSpPr>
      <xdr:spPr>
        <a:xfrm>
          <a:off x="9023978" y="9159818"/>
          <a:ext cx="139560" cy="443336"/>
        </a:xfrm>
        <a:prstGeom prst="rect">
          <a:avLst/>
        </a:prstGeom>
        <a:solidFill>
          <a:schemeClr val="tx1">
            <a:lumMod val="50000"/>
            <a:lumOff val="50000"/>
            <a:alpha val="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14</xdr:col>
      <xdr:colOff>310136</xdr:colOff>
      <xdr:row>52</xdr:row>
      <xdr:rowOff>52563</xdr:rowOff>
    </xdr:from>
    <xdr:to>
      <xdr:col>15</xdr:col>
      <xdr:colOff>157766</xdr:colOff>
      <xdr:row>53</xdr:row>
      <xdr:rowOff>92833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E9CC2F98-5130-4FA6-B103-554A51DC30B1}"/>
            </a:ext>
          </a:extLst>
        </xdr:cNvPr>
        <xdr:cNvSpPr txBox="1"/>
      </xdr:nvSpPr>
      <xdr:spPr>
        <a:xfrm>
          <a:off x="8881008" y="9535230"/>
          <a:ext cx="459835" cy="22262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400"/>
            <a:t>-86</a:t>
          </a:r>
        </a:p>
      </xdr:txBody>
    </xdr:sp>
    <xdr:clientData/>
  </xdr:twoCellAnchor>
  <xdr:twoCellAnchor>
    <xdr:from>
      <xdr:col>16</xdr:col>
      <xdr:colOff>569927</xdr:colOff>
      <xdr:row>52</xdr:row>
      <xdr:rowOff>73265</xdr:rowOff>
    </xdr:from>
    <xdr:to>
      <xdr:col>17</xdr:col>
      <xdr:colOff>91180</xdr:colOff>
      <xdr:row>53</xdr:row>
      <xdr:rowOff>58615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A0F0C8EE-2503-44EC-853B-55DAFC89E7F8}"/>
            </a:ext>
          </a:extLst>
        </xdr:cNvPr>
        <xdr:cNvSpPr/>
      </xdr:nvSpPr>
      <xdr:spPr>
        <a:xfrm>
          <a:off x="10365209" y="9555932"/>
          <a:ext cx="133458" cy="167709"/>
        </a:xfrm>
        <a:prstGeom prst="rect">
          <a:avLst/>
        </a:prstGeom>
        <a:solidFill>
          <a:schemeClr val="tx1">
            <a:lumMod val="50000"/>
            <a:lumOff val="50000"/>
            <a:alpha val="0"/>
          </a:schemeClr>
        </a:solidFill>
        <a:ln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15</xdr:col>
      <xdr:colOff>466621</xdr:colOff>
      <xdr:row>48</xdr:row>
      <xdr:rowOff>126345</xdr:rowOff>
    </xdr:from>
    <xdr:to>
      <xdr:col>16</xdr:col>
      <xdr:colOff>314252</xdr:colOff>
      <xdr:row>49</xdr:row>
      <xdr:rowOff>165286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56867C46-0B30-484A-8225-ECA62DBBC363}"/>
            </a:ext>
          </a:extLst>
        </xdr:cNvPr>
        <xdr:cNvSpPr txBox="1"/>
      </xdr:nvSpPr>
      <xdr:spPr>
        <a:xfrm>
          <a:off x="9649698" y="8879576"/>
          <a:ext cx="459836" cy="221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400"/>
            <a:t>-66</a:t>
          </a:r>
        </a:p>
      </xdr:txBody>
    </xdr:sp>
    <xdr:clientData/>
  </xdr:twoCellAnchor>
  <xdr:twoCellAnchor>
    <xdr:from>
      <xdr:col>16</xdr:col>
      <xdr:colOff>416603</xdr:colOff>
      <xdr:row>52</xdr:row>
      <xdr:rowOff>177977</xdr:rowOff>
    </xdr:from>
    <xdr:to>
      <xdr:col>17</xdr:col>
      <xdr:colOff>264823</xdr:colOff>
      <xdr:row>54</xdr:row>
      <xdr:rowOff>35490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2CF4B252-7BBF-4C26-82E6-BF34246FDC6B}"/>
            </a:ext>
          </a:extLst>
        </xdr:cNvPr>
        <xdr:cNvSpPr txBox="1"/>
      </xdr:nvSpPr>
      <xdr:spPr>
        <a:xfrm>
          <a:off x="10211885" y="9660644"/>
          <a:ext cx="460425" cy="22223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400"/>
            <a:t>-88</a:t>
          </a:r>
        </a:p>
      </xdr:txBody>
    </xdr:sp>
    <xdr:clientData/>
  </xdr:twoCellAnchor>
  <xdr:twoCellAnchor>
    <xdr:from>
      <xdr:col>19</xdr:col>
      <xdr:colOff>447059</xdr:colOff>
      <xdr:row>47</xdr:row>
      <xdr:rowOff>107925</xdr:rowOff>
    </xdr:from>
    <xdr:to>
      <xdr:col>19</xdr:col>
      <xdr:colOff>586154</xdr:colOff>
      <xdr:row>54</xdr:row>
      <xdr:rowOff>53202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9890EDA-CEA5-4ECB-B358-007DEFC8C77F}"/>
            </a:ext>
          </a:extLst>
        </xdr:cNvPr>
        <xdr:cNvSpPr/>
      </xdr:nvSpPr>
      <xdr:spPr>
        <a:xfrm>
          <a:off x="12078956" y="8678797"/>
          <a:ext cx="139095" cy="1221790"/>
        </a:xfrm>
        <a:prstGeom prst="rect">
          <a:avLst/>
        </a:prstGeom>
        <a:solidFill>
          <a:schemeClr val="tx1">
            <a:lumMod val="50000"/>
            <a:lumOff val="50000"/>
            <a:alpha val="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19</xdr:col>
      <xdr:colOff>295292</xdr:colOff>
      <xdr:row>53</xdr:row>
      <xdr:rowOff>166773</xdr:rowOff>
    </xdr:from>
    <xdr:to>
      <xdr:col>20</xdr:col>
      <xdr:colOff>143513</xdr:colOff>
      <xdr:row>55</xdr:row>
      <xdr:rowOff>25614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3D7F9025-4F75-4356-9251-E588DE83357F}"/>
            </a:ext>
          </a:extLst>
        </xdr:cNvPr>
        <xdr:cNvSpPr txBox="1"/>
      </xdr:nvSpPr>
      <xdr:spPr>
        <a:xfrm>
          <a:off x="11927189" y="9831799"/>
          <a:ext cx="460427" cy="223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400"/>
            <a:t>-92</a:t>
          </a:r>
        </a:p>
      </xdr:txBody>
    </xdr:sp>
    <xdr:clientData/>
  </xdr:twoCellAnchor>
  <xdr:twoCellAnchor>
    <xdr:from>
      <xdr:col>17</xdr:col>
      <xdr:colOff>149796</xdr:colOff>
      <xdr:row>47</xdr:row>
      <xdr:rowOff>156050</xdr:rowOff>
    </xdr:from>
    <xdr:to>
      <xdr:col>17</xdr:col>
      <xdr:colOff>280052</xdr:colOff>
      <xdr:row>49</xdr:row>
      <xdr:rowOff>174917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B687DC3A-DE08-4F63-A561-9D3F040BCB3C}"/>
            </a:ext>
          </a:extLst>
        </xdr:cNvPr>
        <xdr:cNvSpPr/>
      </xdr:nvSpPr>
      <xdr:spPr>
        <a:xfrm>
          <a:off x="10557283" y="8726922"/>
          <a:ext cx="130256" cy="383585"/>
        </a:xfrm>
        <a:prstGeom prst="rect">
          <a:avLst/>
        </a:prstGeom>
        <a:solidFill>
          <a:schemeClr val="bg1">
            <a:lumMod val="65000"/>
            <a:alpha val="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17</xdr:col>
      <xdr:colOff>9015</xdr:colOff>
      <xdr:row>49</xdr:row>
      <xdr:rowOff>101089</xdr:rowOff>
    </xdr:from>
    <xdr:to>
      <xdr:col>17</xdr:col>
      <xdr:colOff>469440</xdr:colOff>
      <xdr:row>50</xdr:row>
      <xdr:rowOff>141357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3E0D836B-1487-40AD-A10B-6558EED614B6}"/>
            </a:ext>
          </a:extLst>
        </xdr:cNvPr>
        <xdr:cNvSpPr txBox="1"/>
      </xdr:nvSpPr>
      <xdr:spPr>
        <a:xfrm>
          <a:off x="10416502" y="9036679"/>
          <a:ext cx="460425" cy="22262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400"/>
            <a:t>-71</a:t>
          </a:r>
        </a:p>
      </xdr:txBody>
    </xdr:sp>
    <xdr:clientData/>
  </xdr:twoCellAnchor>
  <xdr:twoCellAnchor>
    <xdr:from>
      <xdr:col>14</xdr:col>
      <xdr:colOff>126999</xdr:colOff>
      <xdr:row>32</xdr:row>
      <xdr:rowOff>18135</xdr:rowOff>
    </xdr:from>
    <xdr:to>
      <xdr:col>25</xdr:col>
      <xdr:colOff>96761</xdr:colOff>
      <xdr:row>33</xdr:row>
      <xdr:rowOff>108849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96B3BCD-BE44-48C4-A552-8DAAE1CAAE45}"/>
            </a:ext>
          </a:extLst>
        </xdr:cNvPr>
        <xdr:cNvSpPr txBox="1"/>
      </xdr:nvSpPr>
      <xdr:spPr>
        <a:xfrm>
          <a:off x="8678332" y="5823849"/>
          <a:ext cx="6688667" cy="2721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600" b="1">
              <a:ln>
                <a:noFill/>
              </a:ln>
              <a:effectLst>
                <a:glow rad="63500">
                  <a:schemeClr val="bg1">
                    <a:alpha val="40000"/>
                  </a:schemeClr>
                </a:glow>
              </a:effectLst>
            </a:rPr>
            <a:t>   B</a:t>
          </a:r>
          <a:r>
            <a:rPr lang="en-AU" sz="1600" b="1" baseline="0">
              <a:ln>
                <a:noFill/>
              </a:ln>
              <a:effectLst>
                <a:glow rad="63500">
                  <a:schemeClr val="bg1">
                    <a:alpha val="40000"/>
                  </a:schemeClr>
                </a:glow>
              </a:effectLst>
            </a:rPr>
            <a:t>               </a:t>
          </a:r>
          <a:r>
            <a:rPr lang="en-AU" sz="1600" b="1">
              <a:ln>
                <a:noFill/>
              </a:ln>
              <a:effectLst>
                <a:glow rad="63500">
                  <a:schemeClr val="bg1">
                    <a:alpha val="40000"/>
                  </a:schemeClr>
                </a:glow>
              </a:effectLst>
            </a:rPr>
            <a:t>L</a:t>
          </a:r>
          <a:r>
            <a:rPr lang="en-AU" sz="1600" b="1" baseline="0">
              <a:ln>
                <a:noFill/>
              </a:ln>
              <a:effectLst>
                <a:glow rad="63500">
                  <a:schemeClr val="bg1">
                    <a:alpha val="40000"/>
                  </a:schemeClr>
                </a:glow>
              </a:effectLst>
            </a:rPr>
            <a:t>              C              G              M             H              P              R                Y             </a:t>
          </a:r>
          <a:endParaRPr lang="en-AU" sz="1600" b="1">
            <a:ln>
              <a:noFill/>
            </a:ln>
            <a:effectLst>
              <a:glow rad="63500">
                <a:schemeClr val="bg1">
                  <a:alpha val="40000"/>
                </a:schemeClr>
              </a:glow>
            </a:effectLst>
          </a:endParaRPr>
        </a:p>
      </xdr:txBody>
    </xdr:sp>
    <xdr:clientData/>
  </xdr:twoCellAnchor>
  <xdr:twoCellAnchor>
    <xdr:from>
      <xdr:col>20</xdr:col>
      <xdr:colOff>609880</xdr:colOff>
      <xdr:row>42</xdr:row>
      <xdr:rowOff>71641</xdr:rowOff>
    </xdr:from>
    <xdr:to>
      <xdr:col>21</xdr:col>
      <xdr:colOff>136769</xdr:colOff>
      <xdr:row>46</xdr:row>
      <xdr:rowOff>71641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7EFFFFF7-5ED0-4581-AF8D-BC18F5C2AABA}"/>
            </a:ext>
          </a:extLst>
        </xdr:cNvPr>
        <xdr:cNvSpPr/>
      </xdr:nvSpPr>
      <xdr:spPr>
        <a:xfrm>
          <a:off x="12853983" y="7730718"/>
          <a:ext cx="139094" cy="729436"/>
        </a:xfrm>
        <a:prstGeom prst="rect">
          <a:avLst/>
        </a:prstGeom>
        <a:solidFill>
          <a:schemeClr val="tx1">
            <a:lumMod val="50000"/>
            <a:lumOff val="50000"/>
            <a:alpha val="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20</xdr:col>
      <xdr:colOff>419241</xdr:colOff>
      <xdr:row>44</xdr:row>
      <xdr:rowOff>158169</xdr:rowOff>
    </xdr:from>
    <xdr:to>
      <xdr:col>20</xdr:col>
      <xdr:colOff>547076</xdr:colOff>
      <xdr:row>49</xdr:row>
      <xdr:rowOff>57483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FFC9756E-7F45-420E-B23D-BE66A9835BB8}"/>
            </a:ext>
          </a:extLst>
        </xdr:cNvPr>
        <xdr:cNvSpPr/>
      </xdr:nvSpPr>
      <xdr:spPr>
        <a:xfrm>
          <a:off x="12663344" y="8181964"/>
          <a:ext cx="127835" cy="811109"/>
        </a:xfrm>
        <a:prstGeom prst="rect">
          <a:avLst/>
        </a:prstGeom>
        <a:solidFill>
          <a:schemeClr val="tx1">
            <a:lumMod val="50000"/>
            <a:lumOff val="50000"/>
            <a:alpha val="0"/>
          </a:schemeClr>
        </a:solidFill>
        <a:ln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20</xdr:col>
      <xdr:colOff>251844</xdr:colOff>
      <xdr:row>48</xdr:row>
      <xdr:rowOff>175892</xdr:rowOff>
    </xdr:from>
    <xdr:to>
      <xdr:col>21</xdr:col>
      <xdr:colOff>100064</xdr:colOff>
      <xdr:row>50</xdr:row>
      <xdr:rowOff>34732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AEFDA050-00D9-4918-8DA6-3A39295DBB0E}"/>
            </a:ext>
          </a:extLst>
        </xdr:cNvPr>
        <xdr:cNvSpPr txBox="1"/>
      </xdr:nvSpPr>
      <xdr:spPr>
        <a:xfrm>
          <a:off x="12495947" y="8929123"/>
          <a:ext cx="460425" cy="2235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400"/>
            <a:t>-67</a:t>
          </a:r>
        </a:p>
      </xdr:txBody>
    </xdr:sp>
    <xdr:clientData/>
  </xdr:twoCellAnchor>
  <xdr:twoCellAnchor>
    <xdr:from>
      <xdr:col>20</xdr:col>
      <xdr:colOff>463324</xdr:colOff>
      <xdr:row>46</xdr:row>
      <xdr:rowOff>5906</xdr:rowOff>
    </xdr:from>
    <xdr:to>
      <xdr:col>21</xdr:col>
      <xdr:colOff>311544</xdr:colOff>
      <xdr:row>47</xdr:row>
      <xdr:rowOff>46175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5ABE36E4-6758-49A4-BC08-D7534165CBB5}"/>
            </a:ext>
          </a:extLst>
        </xdr:cNvPr>
        <xdr:cNvSpPr txBox="1"/>
      </xdr:nvSpPr>
      <xdr:spPr>
        <a:xfrm>
          <a:off x="12707427" y="8394419"/>
          <a:ext cx="460425" cy="2226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400"/>
            <a:t>-56</a:t>
          </a:r>
        </a:p>
      </xdr:txBody>
    </xdr:sp>
    <xdr:clientData/>
  </xdr:twoCellAnchor>
  <xdr:twoCellAnchor>
    <xdr:from>
      <xdr:col>23</xdr:col>
      <xdr:colOff>305918</xdr:colOff>
      <xdr:row>44</xdr:row>
      <xdr:rowOff>113976</xdr:rowOff>
    </xdr:from>
    <xdr:to>
      <xdr:col>23</xdr:col>
      <xdr:colOff>442872</xdr:colOff>
      <xdr:row>51</xdr:row>
      <xdr:rowOff>5118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3A6B6824-BF20-4D3C-A8B9-C27677EF0E3D}"/>
            </a:ext>
          </a:extLst>
        </xdr:cNvPr>
        <xdr:cNvSpPr/>
      </xdr:nvSpPr>
      <xdr:spPr>
        <a:xfrm>
          <a:off x="14386636" y="8137771"/>
          <a:ext cx="136954" cy="1167655"/>
        </a:xfrm>
        <a:prstGeom prst="rect">
          <a:avLst/>
        </a:prstGeom>
        <a:solidFill>
          <a:schemeClr val="tx1">
            <a:lumMod val="50000"/>
            <a:lumOff val="50000"/>
            <a:alpha val="0"/>
          </a:schemeClr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23</xdr:col>
      <xdr:colOff>160477</xdr:colOff>
      <xdr:row>50</xdr:row>
      <xdr:rowOff>127790</xdr:rowOff>
    </xdr:from>
    <xdr:to>
      <xdr:col>23</xdr:col>
      <xdr:colOff>597253</xdr:colOff>
      <xdr:row>51</xdr:row>
      <xdr:rowOff>168060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88556A76-21E5-4989-8BF8-3E7241A6BC0B}"/>
            </a:ext>
          </a:extLst>
        </xdr:cNvPr>
        <xdr:cNvSpPr txBox="1"/>
      </xdr:nvSpPr>
      <xdr:spPr>
        <a:xfrm>
          <a:off x="14241195" y="9245739"/>
          <a:ext cx="436776" cy="22262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400"/>
            <a:t>-77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495F5-7F2E-4B42-B937-5F8DA8E2005C}">
  <dimension ref="A1:N17"/>
  <sheetViews>
    <sheetView workbookViewId="0">
      <selection sqref="A1:XFD17"/>
    </sheetView>
  </sheetViews>
  <sheetFormatPr defaultRowHeight="14.4" x14ac:dyDescent="0.3"/>
  <cols>
    <col min="1" max="2" width="12.109375" bestFit="1" customWidth="1"/>
  </cols>
  <sheetData>
    <row r="1" spans="1:14" x14ac:dyDescent="0.3">
      <c r="B1" t="s">
        <v>0</v>
      </c>
      <c r="C1" t="s">
        <v>1</v>
      </c>
      <c r="D1" t="s">
        <v>2</v>
      </c>
      <c r="E1" t="s">
        <v>3</v>
      </c>
      <c r="F1" t="s">
        <v>12</v>
      </c>
      <c r="G1" t="s">
        <v>4</v>
      </c>
      <c r="H1" t="s">
        <v>5</v>
      </c>
      <c r="I1" t="s">
        <v>11</v>
      </c>
      <c r="J1" t="s">
        <v>9</v>
      </c>
      <c r="K1" t="s">
        <v>14</v>
      </c>
      <c r="L1" t="s">
        <v>10</v>
      </c>
      <c r="M1" t="s">
        <v>13</v>
      </c>
      <c r="N1" t="s">
        <v>6</v>
      </c>
    </row>
    <row r="2" spans="1:14" x14ac:dyDescent="0.3">
      <c r="A2" t="s">
        <v>7</v>
      </c>
      <c r="B2">
        <v>1945</v>
      </c>
      <c r="C2">
        <v>2021</v>
      </c>
      <c r="D2">
        <v>1330.27</v>
      </c>
      <c r="E2">
        <v>339.52</v>
      </c>
      <c r="F2">
        <v>805.15</v>
      </c>
      <c r="G2">
        <v>72.17</v>
      </c>
      <c r="H2">
        <v>18.47</v>
      </c>
      <c r="I2">
        <v>38.270000000000003</v>
      </c>
      <c r="J2">
        <f>(1-(E2/D2))*100</f>
        <v>74.477361738594425</v>
      </c>
      <c r="K2">
        <f>(1-(E2/F2))*100</f>
        <v>57.831459976401909</v>
      </c>
      <c r="L2">
        <f>(1-(H2/G2))*100</f>
        <v>74.407648607454618</v>
      </c>
      <c r="M2">
        <f>(1-(H2/I2))*100</f>
        <v>51.737653514502234</v>
      </c>
      <c r="N2" t="s">
        <v>8</v>
      </c>
    </row>
    <row r="3" spans="1:14" x14ac:dyDescent="0.3">
      <c r="A3" t="s">
        <v>15</v>
      </c>
      <c r="B3">
        <v>1901</v>
      </c>
      <c r="C3">
        <v>2021</v>
      </c>
      <c r="D3">
        <v>28820.39</v>
      </c>
      <c r="E3">
        <v>12195.3</v>
      </c>
      <c r="F3">
        <v>23051.06</v>
      </c>
      <c r="J3">
        <f t="shared" ref="J3:J17" si="0">(1-(E3/D3))*100</f>
        <v>57.685166647640784</v>
      </c>
      <c r="K3">
        <f t="shared" ref="K3:K17" si="1">(1-(E3/F3))*100</f>
        <v>47.094406938336029</v>
      </c>
      <c r="L3" t="e">
        <f t="shared" ref="L3:L17" si="2">(1-(H3/G3))*100</f>
        <v>#DIV/0!</v>
      </c>
      <c r="M3" t="e">
        <f t="shared" ref="M3:M17" si="3">(1-(H3/I3))*100</f>
        <v>#DIV/0!</v>
      </c>
    </row>
    <row r="4" spans="1:14" x14ac:dyDescent="0.3">
      <c r="A4" t="s">
        <v>16</v>
      </c>
      <c r="B4">
        <v>1974</v>
      </c>
      <c r="C4">
        <v>2021</v>
      </c>
      <c r="G4">
        <v>53.92</v>
      </c>
      <c r="H4">
        <v>28.34</v>
      </c>
      <c r="I4">
        <v>53.92</v>
      </c>
      <c r="J4" t="e">
        <f>(1-(H4/D4))*100</f>
        <v>#DIV/0!</v>
      </c>
      <c r="K4" t="e">
        <f>(1-(H4/F4))*100</f>
        <v>#DIV/0!</v>
      </c>
      <c r="L4">
        <f>(1-(H4/G4))*100</f>
        <v>47.440652818991104</v>
      </c>
      <c r="M4">
        <f>(1-(H4/I4))*100</f>
        <v>47.440652818991104</v>
      </c>
      <c r="N4" t="s">
        <v>17</v>
      </c>
    </row>
    <row r="5" spans="1:14" x14ac:dyDescent="0.3">
      <c r="A5" t="s">
        <v>18</v>
      </c>
      <c r="B5">
        <v>1987</v>
      </c>
      <c r="C5">
        <v>2021</v>
      </c>
      <c r="D5">
        <v>21041.9</v>
      </c>
      <c r="E5">
        <v>14287.14</v>
      </c>
      <c r="F5">
        <v>21041.9</v>
      </c>
      <c r="G5">
        <v>38.67</v>
      </c>
      <c r="H5">
        <v>15.2</v>
      </c>
      <c r="I5">
        <v>38.67</v>
      </c>
      <c r="J5">
        <f t="shared" si="0"/>
        <v>32.101473726231958</v>
      </c>
      <c r="K5">
        <f t="shared" si="1"/>
        <v>32.101473726231958</v>
      </c>
      <c r="L5">
        <f t="shared" si="2"/>
        <v>60.69304370312905</v>
      </c>
      <c r="M5">
        <f t="shared" si="3"/>
        <v>60.69304370312905</v>
      </c>
      <c r="N5" t="s">
        <v>19</v>
      </c>
    </row>
    <row r="6" spans="1:14" x14ac:dyDescent="0.3">
      <c r="A6" t="s">
        <v>20</v>
      </c>
      <c r="B6">
        <v>2009</v>
      </c>
      <c r="C6">
        <v>2021</v>
      </c>
      <c r="J6" t="e">
        <f t="shared" si="0"/>
        <v>#DIV/0!</v>
      </c>
      <c r="K6" t="e">
        <f t="shared" si="1"/>
        <v>#DIV/0!</v>
      </c>
      <c r="L6" t="e">
        <f t="shared" si="2"/>
        <v>#DIV/0!</v>
      </c>
      <c r="M6" t="e">
        <f t="shared" si="3"/>
        <v>#DIV/0!</v>
      </c>
      <c r="N6" t="s">
        <v>22</v>
      </c>
    </row>
    <row r="7" spans="1:14" x14ac:dyDescent="0.3">
      <c r="A7" t="s">
        <v>21</v>
      </c>
      <c r="B7">
        <v>1982</v>
      </c>
      <c r="C7">
        <v>2021</v>
      </c>
      <c r="D7">
        <v>496.26</v>
      </c>
      <c r="E7">
        <v>212.23</v>
      </c>
      <c r="F7">
        <v>496.26</v>
      </c>
      <c r="G7">
        <v>82.47</v>
      </c>
      <c r="H7">
        <v>48.27</v>
      </c>
      <c r="I7">
        <v>82.47</v>
      </c>
      <c r="J7">
        <f t="shared" si="0"/>
        <v>57.23411115141257</v>
      </c>
      <c r="K7">
        <f t="shared" si="1"/>
        <v>57.23411115141257</v>
      </c>
      <c r="L7">
        <f t="shared" si="2"/>
        <v>41.469625318297552</v>
      </c>
      <c r="M7">
        <f t="shared" si="3"/>
        <v>41.469625318297552</v>
      </c>
      <c r="N7" t="s">
        <v>17</v>
      </c>
    </row>
    <row r="8" spans="1:14" x14ac:dyDescent="0.3">
      <c r="A8" t="s">
        <v>23</v>
      </c>
      <c r="B8">
        <v>1945</v>
      </c>
      <c r="C8">
        <v>2021</v>
      </c>
      <c r="D8">
        <v>510.26</v>
      </c>
      <c r="E8">
        <v>127.64</v>
      </c>
      <c r="F8">
        <v>305.06</v>
      </c>
      <c r="G8">
        <v>117.43</v>
      </c>
      <c r="H8">
        <v>32.200000000000003</v>
      </c>
      <c r="I8">
        <v>87.61</v>
      </c>
      <c r="J8">
        <f t="shared" si="0"/>
        <v>74.985301610943438</v>
      </c>
      <c r="K8">
        <f t="shared" si="1"/>
        <v>58.159050678555047</v>
      </c>
      <c r="L8">
        <f t="shared" si="2"/>
        <v>72.579409009622751</v>
      </c>
      <c r="M8">
        <f t="shared" si="3"/>
        <v>63.246204771144846</v>
      </c>
      <c r="N8" t="s">
        <v>8</v>
      </c>
    </row>
    <row r="9" spans="1:14" x14ac:dyDescent="0.3">
      <c r="A9" t="s">
        <v>24</v>
      </c>
      <c r="B9">
        <v>1929</v>
      </c>
      <c r="C9">
        <v>2021</v>
      </c>
      <c r="D9">
        <v>1428.93</v>
      </c>
      <c r="E9">
        <v>626.69000000000005</v>
      </c>
      <c r="F9">
        <v>1428.93</v>
      </c>
      <c r="G9">
        <v>6.09</v>
      </c>
      <c r="H9">
        <v>2.5299999999999998</v>
      </c>
      <c r="I9">
        <v>6.09</v>
      </c>
      <c r="J9">
        <f t="shared" si="0"/>
        <v>56.142708180246757</v>
      </c>
      <c r="K9">
        <f t="shared" si="1"/>
        <v>56.142708180246757</v>
      </c>
      <c r="L9">
        <f t="shared" si="2"/>
        <v>58.456486042692937</v>
      </c>
      <c r="M9">
        <f t="shared" si="3"/>
        <v>58.456486042692937</v>
      </c>
      <c r="N9" t="s">
        <v>25</v>
      </c>
    </row>
    <row r="10" spans="1:14" x14ac:dyDescent="0.3">
      <c r="A10" t="s">
        <v>26</v>
      </c>
      <c r="B10">
        <v>1960</v>
      </c>
      <c r="C10">
        <v>2021</v>
      </c>
      <c r="D10">
        <v>27666.74</v>
      </c>
      <c r="E10">
        <v>12005.86</v>
      </c>
      <c r="F10">
        <v>27666.74</v>
      </c>
      <c r="G10">
        <v>27.8</v>
      </c>
      <c r="H10">
        <v>13.93</v>
      </c>
      <c r="I10">
        <v>27.8</v>
      </c>
      <c r="J10">
        <f t="shared" si="0"/>
        <v>56.605440322929269</v>
      </c>
      <c r="K10">
        <f t="shared" si="1"/>
        <v>56.605440322929269</v>
      </c>
      <c r="L10">
        <f t="shared" si="2"/>
        <v>49.892086330935257</v>
      </c>
      <c r="M10">
        <f t="shared" si="3"/>
        <v>49.892086330935257</v>
      </c>
      <c r="N10" t="s">
        <v>27</v>
      </c>
    </row>
    <row r="11" spans="1:14" x14ac:dyDescent="0.3">
      <c r="A11" t="s">
        <v>28</v>
      </c>
      <c r="B11">
        <v>1913</v>
      </c>
      <c r="C11">
        <v>2021</v>
      </c>
      <c r="D11">
        <v>13715.98</v>
      </c>
      <c r="E11">
        <v>8420.32</v>
      </c>
      <c r="F11">
        <v>9259.75</v>
      </c>
      <c r="G11">
        <v>87.13</v>
      </c>
      <c r="H11">
        <v>24.93</v>
      </c>
      <c r="I11">
        <v>40.78</v>
      </c>
      <c r="J11">
        <f t="shared" si="0"/>
        <v>38.609417628197185</v>
      </c>
      <c r="K11">
        <f t="shared" si="1"/>
        <v>9.0653635357326063</v>
      </c>
      <c r="L11">
        <f t="shared" si="2"/>
        <v>71.387581774360157</v>
      </c>
      <c r="M11">
        <f t="shared" si="3"/>
        <v>38.867091711623345</v>
      </c>
    </row>
    <row r="12" spans="1:14" x14ac:dyDescent="0.3">
      <c r="A12" t="s">
        <v>29</v>
      </c>
      <c r="B12">
        <v>1976</v>
      </c>
      <c r="C12">
        <v>2021</v>
      </c>
      <c r="D12">
        <v>2843.33</v>
      </c>
      <c r="E12">
        <v>2034.41</v>
      </c>
      <c r="F12">
        <v>2843.33</v>
      </c>
      <c r="G12">
        <v>29.67</v>
      </c>
      <c r="H12">
        <v>21.25</v>
      </c>
      <c r="I12">
        <v>29.67</v>
      </c>
      <c r="J12">
        <f t="shared" si="0"/>
        <v>28.449740269332079</v>
      </c>
      <c r="K12">
        <f t="shared" si="1"/>
        <v>28.449740269332079</v>
      </c>
      <c r="L12">
        <f t="shared" si="2"/>
        <v>28.378833838894511</v>
      </c>
      <c r="M12">
        <f t="shared" si="3"/>
        <v>28.378833838894511</v>
      </c>
      <c r="N12" t="s">
        <v>30</v>
      </c>
    </row>
    <row r="13" spans="1:14" x14ac:dyDescent="0.3">
      <c r="A13" t="s">
        <v>31</v>
      </c>
      <c r="B13">
        <v>1916</v>
      </c>
      <c r="C13">
        <v>2021</v>
      </c>
      <c r="D13">
        <v>8554.67</v>
      </c>
      <c r="E13">
        <v>6170.24</v>
      </c>
      <c r="F13">
        <v>9951.09</v>
      </c>
      <c r="J13">
        <f t="shared" si="0"/>
        <v>27.872846059520707</v>
      </c>
      <c r="K13">
        <f t="shared" si="1"/>
        <v>37.994330269347373</v>
      </c>
      <c r="L13" t="e">
        <f t="shared" si="2"/>
        <v>#DIV/0!</v>
      </c>
      <c r="M13" t="e">
        <f t="shared" si="3"/>
        <v>#DIV/0!</v>
      </c>
      <c r="N13" t="s">
        <v>32</v>
      </c>
    </row>
    <row r="14" spans="1:14" x14ac:dyDescent="0.3">
      <c r="A14" t="s">
        <v>33</v>
      </c>
      <c r="B14">
        <v>1955</v>
      </c>
      <c r="C14">
        <v>2021</v>
      </c>
      <c r="D14">
        <v>1455.32</v>
      </c>
      <c r="E14">
        <v>460</v>
      </c>
      <c r="F14">
        <v>1455.32</v>
      </c>
      <c r="G14">
        <v>160.38999999999999</v>
      </c>
      <c r="H14">
        <v>66.03</v>
      </c>
      <c r="I14">
        <v>160.38999999999999</v>
      </c>
      <c r="J14">
        <f t="shared" si="0"/>
        <v>68.391831349806225</v>
      </c>
      <c r="K14">
        <f t="shared" si="1"/>
        <v>68.391831349806225</v>
      </c>
      <c r="L14">
        <f t="shared" si="2"/>
        <v>58.831597979923934</v>
      </c>
      <c r="M14">
        <f t="shared" si="3"/>
        <v>58.831597979923934</v>
      </c>
      <c r="N14" t="s">
        <v>34</v>
      </c>
    </row>
    <row r="15" spans="1:14" x14ac:dyDescent="0.3">
      <c r="A15" t="s">
        <v>35</v>
      </c>
      <c r="B15">
        <v>1976</v>
      </c>
      <c r="C15">
        <v>2021</v>
      </c>
      <c r="D15">
        <v>1246.4000000000001</v>
      </c>
      <c r="E15">
        <v>908.09</v>
      </c>
      <c r="F15">
        <v>1246.4000000000001</v>
      </c>
      <c r="G15">
        <v>14.53</v>
      </c>
      <c r="H15">
        <v>11.93</v>
      </c>
      <c r="I15">
        <v>14.53</v>
      </c>
      <c r="J15">
        <f t="shared" si="0"/>
        <v>27.142971758664956</v>
      </c>
      <c r="K15">
        <f t="shared" si="1"/>
        <v>27.142971758664956</v>
      </c>
      <c r="L15">
        <f t="shared" si="2"/>
        <v>17.894012388162416</v>
      </c>
      <c r="M15">
        <f t="shared" si="3"/>
        <v>17.894012388162416</v>
      </c>
      <c r="N15" t="s">
        <v>17</v>
      </c>
    </row>
    <row r="16" spans="1:14" x14ac:dyDescent="0.3">
      <c r="A16" t="s">
        <v>36</v>
      </c>
      <c r="B16">
        <v>1993</v>
      </c>
      <c r="C16">
        <v>2021</v>
      </c>
      <c r="D16">
        <v>454.02</v>
      </c>
      <c r="E16">
        <v>614.88</v>
      </c>
      <c r="F16">
        <v>454.02</v>
      </c>
      <c r="G16">
        <v>2.5</v>
      </c>
      <c r="H16">
        <v>3.13</v>
      </c>
      <c r="I16">
        <v>2.5</v>
      </c>
      <c r="J16">
        <f t="shared" si="0"/>
        <v>-35.430157261794633</v>
      </c>
      <c r="K16">
        <f t="shared" si="1"/>
        <v>-35.430157261794633</v>
      </c>
      <c r="L16">
        <f t="shared" si="2"/>
        <v>-25.2</v>
      </c>
      <c r="M16">
        <f t="shared" si="3"/>
        <v>-25.2</v>
      </c>
      <c r="N16" t="s">
        <v>37</v>
      </c>
    </row>
    <row r="17" spans="1:14" x14ac:dyDescent="0.3">
      <c r="A17" t="s">
        <v>38</v>
      </c>
      <c r="B17">
        <v>1968</v>
      </c>
      <c r="C17">
        <v>2021</v>
      </c>
      <c r="D17">
        <v>3880.61</v>
      </c>
      <c r="E17">
        <v>4455.0200000000004</v>
      </c>
      <c r="F17">
        <v>3880.61</v>
      </c>
      <c r="J17">
        <f t="shared" si="0"/>
        <v>-14.802054316202874</v>
      </c>
      <c r="K17">
        <f t="shared" si="1"/>
        <v>-14.802054316202874</v>
      </c>
      <c r="L17" t="e">
        <f t="shared" si="2"/>
        <v>#DIV/0!</v>
      </c>
      <c r="M17" t="e">
        <f t="shared" si="3"/>
        <v>#DIV/0!</v>
      </c>
      <c r="N17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B999C-E562-490E-BF8E-4A8F968059D6}">
  <dimension ref="A1:H30"/>
  <sheetViews>
    <sheetView tabSelected="1" topLeftCell="K28" zoomScale="117" zoomScaleNormal="117" workbookViewId="0">
      <selection activeCell="L29" sqref="L29"/>
    </sheetView>
  </sheetViews>
  <sheetFormatPr defaultRowHeight="14.4" x14ac:dyDescent="0.3"/>
  <sheetData>
    <row r="1" spans="1:8" x14ac:dyDescent="0.3">
      <c r="B1" t="s">
        <v>0</v>
      </c>
      <c r="C1" t="s">
        <v>1</v>
      </c>
      <c r="D1" t="s">
        <v>9</v>
      </c>
      <c r="E1" t="s">
        <v>14</v>
      </c>
      <c r="F1" t="s">
        <v>10</v>
      </c>
      <c r="G1" t="s">
        <v>13</v>
      </c>
      <c r="H1" t="s">
        <v>6</v>
      </c>
    </row>
    <row r="2" spans="1:8" x14ac:dyDescent="0.3">
      <c r="A2" t="s">
        <v>7</v>
      </c>
      <c r="B2">
        <v>1945</v>
      </c>
      <c r="C2">
        <v>2021</v>
      </c>
      <c r="D2">
        <v>74.477361738594425</v>
      </c>
      <c r="E2">
        <v>57.831459976401909</v>
      </c>
      <c r="F2">
        <v>74.407648607454618</v>
      </c>
      <c r="G2">
        <v>51.737653514502234</v>
      </c>
      <c r="H2" t="s">
        <v>8</v>
      </c>
    </row>
    <row r="3" spans="1:8" x14ac:dyDescent="0.3">
      <c r="A3" t="s">
        <v>15</v>
      </c>
      <c r="B3">
        <v>1901</v>
      </c>
      <c r="C3">
        <v>2021</v>
      </c>
      <c r="D3">
        <v>57.685166647640784</v>
      </c>
      <c r="E3">
        <v>47.094406938336029</v>
      </c>
    </row>
    <row r="4" spans="1:8" x14ac:dyDescent="0.3">
      <c r="A4" t="s">
        <v>16</v>
      </c>
      <c r="B4">
        <v>1974</v>
      </c>
      <c r="C4">
        <v>2021</v>
      </c>
      <c r="F4">
        <v>47.440652818991104</v>
      </c>
      <c r="G4">
        <v>47.440652818991104</v>
      </c>
      <c r="H4" t="s">
        <v>17</v>
      </c>
    </row>
    <row r="5" spans="1:8" x14ac:dyDescent="0.3">
      <c r="A5" t="s">
        <v>18</v>
      </c>
      <c r="B5">
        <v>1987</v>
      </c>
      <c r="C5">
        <v>2021</v>
      </c>
      <c r="D5">
        <v>32.101473726231958</v>
      </c>
      <c r="E5">
        <v>32.101473726231958</v>
      </c>
      <c r="F5">
        <v>60.69304370312905</v>
      </c>
      <c r="G5">
        <v>60.69304370312905</v>
      </c>
      <c r="H5" t="s">
        <v>19</v>
      </c>
    </row>
    <row r="6" spans="1:8" x14ac:dyDescent="0.3">
      <c r="A6" t="s">
        <v>20</v>
      </c>
      <c r="B6">
        <v>2009</v>
      </c>
      <c r="C6">
        <v>2021</v>
      </c>
      <c r="H6" t="s">
        <v>22</v>
      </c>
    </row>
    <row r="7" spans="1:8" x14ac:dyDescent="0.3">
      <c r="A7" t="s">
        <v>21</v>
      </c>
      <c r="B7">
        <v>1982</v>
      </c>
      <c r="C7">
        <v>2021</v>
      </c>
      <c r="D7">
        <v>57.23411115141257</v>
      </c>
      <c r="E7">
        <v>57.23411115141257</v>
      </c>
      <c r="F7">
        <v>41.469625318297552</v>
      </c>
      <c r="G7">
        <v>41.469625318297552</v>
      </c>
      <c r="H7" t="s">
        <v>17</v>
      </c>
    </row>
    <row r="8" spans="1:8" x14ac:dyDescent="0.3">
      <c r="A8" t="s">
        <v>23</v>
      </c>
      <c r="B8">
        <v>1945</v>
      </c>
      <c r="C8">
        <v>2021</v>
      </c>
      <c r="D8">
        <v>74.985301610943438</v>
      </c>
      <c r="E8">
        <v>58.159050678555047</v>
      </c>
      <c r="F8">
        <v>72.579409009622751</v>
      </c>
      <c r="G8">
        <v>63.246204771144846</v>
      </c>
      <c r="H8" t="s">
        <v>8</v>
      </c>
    </row>
    <row r="9" spans="1:8" x14ac:dyDescent="0.3">
      <c r="A9" t="s">
        <v>24</v>
      </c>
      <c r="B9">
        <v>1929</v>
      </c>
      <c r="C9">
        <v>2021</v>
      </c>
      <c r="D9">
        <v>56.142708180246757</v>
      </c>
      <c r="E9">
        <v>56.142708180246757</v>
      </c>
      <c r="F9">
        <v>58.456486042692937</v>
      </c>
      <c r="G9">
        <v>58.456486042692937</v>
      </c>
      <c r="H9" t="s">
        <v>25</v>
      </c>
    </row>
    <row r="10" spans="1:8" x14ac:dyDescent="0.3">
      <c r="A10" t="s">
        <v>26</v>
      </c>
      <c r="B10">
        <v>1960</v>
      </c>
      <c r="C10">
        <v>2021</v>
      </c>
      <c r="D10">
        <v>56.605440322929269</v>
      </c>
      <c r="E10">
        <v>56.605440322929269</v>
      </c>
      <c r="F10">
        <v>49.892086330935257</v>
      </c>
      <c r="G10">
        <v>49.892086330935257</v>
      </c>
      <c r="H10" t="s">
        <v>27</v>
      </c>
    </row>
    <row r="11" spans="1:8" x14ac:dyDescent="0.3">
      <c r="A11" t="s">
        <v>28</v>
      </c>
      <c r="B11">
        <v>1913</v>
      </c>
      <c r="C11">
        <v>2021</v>
      </c>
      <c r="D11">
        <v>38.609417628197185</v>
      </c>
      <c r="E11">
        <v>9.0653635357326063</v>
      </c>
      <c r="F11">
        <v>71.387581774360157</v>
      </c>
      <c r="G11">
        <v>38.867091711623345</v>
      </c>
    </row>
    <row r="12" spans="1:8" x14ac:dyDescent="0.3">
      <c r="A12" t="s">
        <v>29</v>
      </c>
      <c r="B12">
        <v>1976</v>
      </c>
      <c r="C12">
        <v>2021</v>
      </c>
      <c r="D12">
        <v>28.449740269332079</v>
      </c>
      <c r="E12">
        <v>28.449740269332079</v>
      </c>
      <c r="F12">
        <v>28.378833838894511</v>
      </c>
      <c r="G12">
        <v>28.378833838894511</v>
      </c>
      <c r="H12" t="s">
        <v>30</v>
      </c>
    </row>
    <row r="13" spans="1:8" x14ac:dyDescent="0.3">
      <c r="A13" t="s">
        <v>31</v>
      </c>
      <c r="B13">
        <v>1916</v>
      </c>
      <c r="C13">
        <v>2021</v>
      </c>
      <c r="D13">
        <v>27.872846059520707</v>
      </c>
      <c r="E13">
        <v>37.994330269347373</v>
      </c>
      <c r="H13" t="s">
        <v>32</v>
      </c>
    </row>
    <row r="14" spans="1:8" x14ac:dyDescent="0.3">
      <c r="A14" t="s">
        <v>33</v>
      </c>
      <c r="B14">
        <v>1955</v>
      </c>
      <c r="C14">
        <v>2021</v>
      </c>
      <c r="D14">
        <v>68.391831349806225</v>
      </c>
      <c r="E14">
        <v>68.391831349806225</v>
      </c>
      <c r="F14">
        <v>58.831597979923934</v>
      </c>
      <c r="G14">
        <v>58.831597979923934</v>
      </c>
      <c r="H14" t="s">
        <v>34</v>
      </c>
    </row>
    <row r="15" spans="1:8" x14ac:dyDescent="0.3">
      <c r="A15" t="s">
        <v>35</v>
      </c>
      <c r="B15">
        <v>1976</v>
      </c>
      <c r="C15">
        <v>2021</v>
      </c>
      <c r="D15">
        <v>27.142971758664956</v>
      </c>
      <c r="E15">
        <v>27.142971758664956</v>
      </c>
      <c r="F15">
        <v>17.894012388162416</v>
      </c>
      <c r="G15">
        <v>17.894012388162416</v>
      </c>
      <c r="H15" t="s">
        <v>17</v>
      </c>
    </row>
    <row r="16" spans="1:8" x14ac:dyDescent="0.3">
      <c r="A16" t="s">
        <v>36</v>
      </c>
      <c r="B16">
        <v>1993</v>
      </c>
      <c r="C16">
        <v>2021</v>
      </c>
      <c r="D16">
        <v>-35.430157261794633</v>
      </c>
      <c r="E16">
        <v>-35.430157261794633</v>
      </c>
      <c r="F16">
        <v>-25.2</v>
      </c>
      <c r="G16">
        <v>-25.2</v>
      </c>
      <c r="H16" t="s">
        <v>37</v>
      </c>
    </row>
    <row r="17" spans="1:8" x14ac:dyDescent="0.3">
      <c r="A17" t="s">
        <v>38</v>
      </c>
      <c r="B17">
        <v>1968</v>
      </c>
      <c r="C17">
        <v>2021</v>
      </c>
      <c r="D17">
        <v>-14.802054316202874</v>
      </c>
      <c r="E17">
        <v>-14.802054316202874</v>
      </c>
      <c r="H17" t="s">
        <v>39</v>
      </c>
    </row>
    <row r="19" spans="1:8" x14ac:dyDescent="0.3">
      <c r="A19" t="s">
        <v>40</v>
      </c>
      <c r="B19" t="s">
        <v>52</v>
      </c>
      <c r="C19" t="s">
        <v>53</v>
      </c>
      <c r="D19" t="s">
        <v>41</v>
      </c>
      <c r="E19" t="s">
        <v>42</v>
      </c>
    </row>
    <row r="20" spans="1:8" x14ac:dyDescent="0.3">
      <c r="A20" t="s">
        <v>63</v>
      </c>
      <c r="B20">
        <v>-73</v>
      </c>
      <c r="C20">
        <v>-86</v>
      </c>
      <c r="D20">
        <v>-92</v>
      </c>
      <c r="E20">
        <v>-94</v>
      </c>
    </row>
    <row r="21" spans="1:8" x14ac:dyDescent="0.3">
      <c r="A21" t="s">
        <v>66</v>
      </c>
      <c r="B21">
        <v>-41</v>
      </c>
      <c r="C21">
        <v>-66</v>
      </c>
      <c r="D21">
        <v>-91</v>
      </c>
      <c r="E21">
        <v>-91</v>
      </c>
    </row>
    <row r="22" spans="1:8" x14ac:dyDescent="0.3">
      <c r="A22" t="s">
        <v>62</v>
      </c>
      <c r="B22">
        <v>-62</v>
      </c>
      <c r="C22">
        <v>-71</v>
      </c>
      <c r="D22">
        <v>-83</v>
      </c>
      <c r="E22">
        <v>-88</v>
      </c>
    </row>
    <row r="23" spans="1:8" x14ac:dyDescent="0.3">
      <c r="A23" t="s">
        <v>65</v>
      </c>
      <c r="B23">
        <v>-67</v>
      </c>
      <c r="C23">
        <v>-67</v>
      </c>
      <c r="D23">
        <v>-79</v>
      </c>
      <c r="E23">
        <v>-79</v>
      </c>
    </row>
    <row r="24" spans="1:8" x14ac:dyDescent="0.3">
      <c r="A24" t="s">
        <v>44</v>
      </c>
      <c r="B24">
        <v>-61</v>
      </c>
      <c r="C24">
        <v>-92</v>
      </c>
      <c r="D24">
        <v>-56</v>
      </c>
      <c r="E24">
        <v>-56</v>
      </c>
    </row>
    <row r="25" spans="1:8" x14ac:dyDescent="0.3">
      <c r="A25" t="s">
        <v>48</v>
      </c>
      <c r="B25">
        <v>-37</v>
      </c>
      <c r="C25">
        <v>-56</v>
      </c>
      <c r="D25">
        <v>-48</v>
      </c>
      <c r="E25">
        <v>-67</v>
      </c>
    </row>
    <row r="26" spans="1:8" x14ac:dyDescent="0.3">
      <c r="A26" t="s">
        <v>50</v>
      </c>
      <c r="B26">
        <v>-63</v>
      </c>
      <c r="C26">
        <v>-63</v>
      </c>
      <c r="D26">
        <v>-31</v>
      </c>
      <c r="E26">
        <v>-31</v>
      </c>
    </row>
    <row r="27" spans="1:8" x14ac:dyDescent="0.3">
      <c r="A27" t="s">
        <v>64</v>
      </c>
      <c r="B27">
        <v>-47</v>
      </c>
      <c r="C27">
        <v>-77</v>
      </c>
      <c r="D27">
        <v>3</v>
      </c>
      <c r="E27">
        <v>3</v>
      </c>
    </row>
    <row r="28" spans="1:8" x14ac:dyDescent="0.3">
      <c r="A28" t="s">
        <v>67</v>
      </c>
      <c r="B28">
        <v>-72</v>
      </c>
      <c r="C28">
        <v>-72</v>
      </c>
      <c r="D28">
        <v>12</v>
      </c>
      <c r="E28">
        <v>12</v>
      </c>
    </row>
    <row r="30" spans="1:8" x14ac:dyDescent="0.3">
      <c r="A30" t="s">
        <v>54</v>
      </c>
      <c r="B30">
        <f>AVERAGE(B20:B28)</f>
        <v>-58.111111111111114</v>
      </c>
      <c r="C30">
        <f>AVERAGE(C20:C28)</f>
        <v>-72.222222222222229</v>
      </c>
      <c r="D30">
        <f t="shared" ref="D30:E30" si="0">AVERAGE(D20:D28)</f>
        <v>-51.666666666666664</v>
      </c>
      <c r="E30">
        <f t="shared" si="0"/>
        <v>-54.555555555555557</v>
      </c>
    </row>
  </sheetData>
  <sortState xmlns:xlrd2="http://schemas.microsoft.com/office/spreadsheetml/2017/richdata2" ref="A20:E28">
    <sortCondition ref="D20:D28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5DC22-13BA-438C-9CCD-B8B2CCA5C8E6}">
  <dimension ref="A1:D37"/>
  <sheetViews>
    <sheetView workbookViewId="0">
      <selection activeCell="E19" sqref="E19"/>
    </sheetView>
  </sheetViews>
  <sheetFormatPr defaultRowHeight="14.4" x14ac:dyDescent="0.3"/>
  <sheetData>
    <row r="1" spans="1:4" x14ac:dyDescent="0.3">
      <c r="A1" t="s">
        <v>40</v>
      </c>
      <c r="B1" t="s">
        <v>55</v>
      </c>
      <c r="C1" t="s">
        <v>56</v>
      </c>
      <c r="D1" t="s">
        <v>57</v>
      </c>
    </row>
    <row r="2" spans="1:4" x14ac:dyDescent="0.3">
      <c r="A2" t="s">
        <v>45</v>
      </c>
      <c r="B2">
        <v>-75</v>
      </c>
      <c r="C2" t="s">
        <v>59</v>
      </c>
      <c r="D2" t="s">
        <v>58</v>
      </c>
    </row>
    <row r="3" spans="1:4" x14ac:dyDescent="0.3">
      <c r="A3" t="s">
        <v>46</v>
      </c>
      <c r="B3">
        <v>-74</v>
      </c>
      <c r="C3" t="s">
        <v>59</v>
      </c>
      <c r="D3" t="s">
        <v>58</v>
      </c>
    </row>
    <row r="4" spans="1:4" x14ac:dyDescent="0.3">
      <c r="A4" t="s">
        <v>44</v>
      </c>
      <c r="B4">
        <v>-68</v>
      </c>
      <c r="C4" t="s">
        <v>59</v>
      </c>
      <c r="D4" t="s">
        <v>58</v>
      </c>
    </row>
    <row r="5" spans="1:4" x14ac:dyDescent="0.3">
      <c r="A5" t="s">
        <v>47</v>
      </c>
      <c r="B5">
        <v>-58</v>
      </c>
      <c r="C5" t="s">
        <v>59</v>
      </c>
      <c r="D5" t="s">
        <v>58</v>
      </c>
    </row>
    <row r="6" spans="1:4" x14ac:dyDescent="0.3">
      <c r="A6" t="s">
        <v>48</v>
      </c>
      <c r="B6">
        <v>-57</v>
      </c>
      <c r="C6" t="s">
        <v>59</v>
      </c>
      <c r="D6" t="s">
        <v>58</v>
      </c>
    </row>
    <row r="7" spans="1:4" x14ac:dyDescent="0.3">
      <c r="A7" t="s">
        <v>43</v>
      </c>
      <c r="B7">
        <v>-56</v>
      </c>
      <c r="C7" t="s">
        <v>59</v>
      </c>
      <c r="D7" t="s">
        <v>58</v>
      </c>
    </row>
    <row r="8" spans="1:4" x14ac:dyDescent="0.3">
      <c r="A8" t="s">
        <v>49</v>
      </c>
      <c r="B8">
        <v>-28</v>
      </c>
      <c r="C8" t="s">
        <v>59</v>
      </c>
      <c r="D8" t="s">
        <v>58</v>
      </c>
    </row>
    <row r="9" spans="1:4" x14ac:dyDescent="0.3">
      <c r="A9" t="s">
        <v>50</v>
      </c>
      <c r="B9">
        <v>-27</v>
      </c>
      <c r="C9" t="s">
        <v>59</v>
      </c>
      <c r="D9" t="s">
        <v>58</v>
      </c>
    </row>
    <row r="10" spans="1:4" x14ac:dyDescent="0.3">
      <c r="A10" t="s">
        <v>51</v>
      </c>
      <c r="B10">
        <v>15</v>
      </c>
      <c r="C10" t="s">
        <v>59</v>
      </c>
      <c r="D10" t="s">
        <v>58</v>
      </c>
    </row>
    <row r="11" spans="1:4" x14ac:dyDescent="0.3">
      <c r="A11" t="s">
        <v>45</v>
      </c>
      <c r="B11">
        <v>-58</v>
      </c>
      <c r="C11" t="s">
        <v>59</v>
      </c>
      <c r="D11" t="s">
        <v>60</v>
      </c>
    </row>
    <row r="12" spans="1:4" x14ac:dyDescent="0.3">
      <c r="A12" t="s">
        <v>46</v>
      </c>
      <c r="B12">
        <v>-58</v>
      </c>
      <c r="C12" t="s">
        <v>59</v>
      </c>
      <c r="D12" t="s">
        <v>60</v>
      </c>
    </row>
    <row r="13" spans="1:4" x14ac:dyDescent="0.3">
      <c r="A13" t="s">
        <v>44</v>
      </c>
      <c r="B13">
        <v>-68</v>
      </c>
      <c r="C13" t="s">
        <v>59</v>
      </c>
      <c r="D13" t="s">
        <v>60</v>
      </c>
    </row>
    <row r="14" spans="1:4" x14ac:dyDescent="0.3">
      <c r="A14" t="s">
        <v>47</v>
      </c>
      <c r="B14">
        <v>-47</v>
      </c>
      <c r="C14" t="s">
        <v>59</v>
      </c>
      <c r="D14" t="s">
        <v>60</v>
      </c>
    </row>
    <row r="15" spans="1:4" x14ac:dyDescent="0.3">
      <c r="A15" t="s">
        <v>48</v>
      </c>
      <c r="B15">
        <v>-57</v>
      </c>
      <c r="C15" t="s">
        <v>59</v>
      </c>
      <c r="D15" t="s">
        <v>60</v>
      </c>
    </row>
    <row r="16" spans="1:4" x14ac:dyDescent="0.3">
      <c r="A16" t="s">
        <v>43</v>
      </c>
      <c r="B16">
        <v>-56</v>
      </c>
      <c r="C16" t="s">
        <v>59</v>
      </c>
      <c r="D16" t="s">
        <v>60</v>
      </c>
    </row>
    <row r="17" spans="1:4" x14ac:dyDescent="0.3">
      <c r="A17" t="s">
        <v>49</v>
      </c>
      <c r="B17">
        <v>-28</v>
      </c>
      <c r="C17" t="s">
        <v>59</v>
      </c>
      <c r="D17" t="s">
        <v>60</v>
      </c>
    </row>
    <row r="18" spans="1:4" x14ac:dyDescent="0.3">
      <c r="A18" t="s">
        <v>50</v>
      </c>
      <c r="B18">
        <v>-27</v>
      </c>
      <c r="C18" t="s">
        <v>59</v>
      </c>
      <c r="D18" t="s">
        <v>60</v>
      </c>
    </row>
    <row r="19" spans="1:4" x14ac:dyDescent="0.3">
      <c r="A19" t="s">
        <v>51</v>
      </c>
      <c r="B19">
        <v>15</v>
      </c>
      <c r="C19" t="s">
        <v>59</v>
      </c>
      <c r="D19" t="s">
        <v>60</v>
      </c>
    </row>
    <row r="20" spans="1:4" x14ac:dyDescent="0.3">
      <c r="A20" t="s">
        <v>45</v>
      </c>
      <c r="B20">
        <v>-73</v>
      </c>
      <c r="C20" t="s">
        <v>61</v>
      </c>
      <c r="D20" t="s">
        <v>58</v>
      </c>
    </row>
    <row r="21" spans="1:4" x14ac:dyDescent="0.3">
      <c r="A21" t="s">
        <v>46</v>
      </c>
      <c r="B21">
        <v>-74</v>
      </c>
      <c r="C21" t="s">
        <v>61</v>
      </c>
      <c r="D21" t="s">
        <v>58</v>
      </c>
    </row>
    <row r="22" spans="1:4" x14ac:dyDescent="0.3">
      <c r="A22" t="s">
        <v>44</v>
      </c>
      <c r="B22">
        <v>-59</v>
      </c>
      <c r="C22" t="s">
        <v>61</v>
      </c>
      <c r="D22" t="s">
        <v>58</v>
      </c>
    </row>
    <row r="23" spans="1:4" x14ac:dyDescent="0.3">
      <c r="A23" t="s">
        <v>47</v>
      </c>
      <c r="B23">
        <v>-54</v>
      </c>
      <c r="C23" t="s">
        <v>61</v>
      </c>
      <c r="D23" t="s">
        <v>58</v>
      </c>
    </row>
    <row r="24" spans="1:4" x14ac:dyDescent="0.3">
      <c r="A24" t="s">
        <v>48</v>
      </c>
      <c r="B24">
        <v>-71</v>
      </c>
      <c r="C24" t="s">
        <v>61</v>
      </c>
      <c r="D24" t="s">
        <v>58</v>
      </c>
    </row>
    <row r="25" spans="1:4" x14ac:dyDescent="0.3">
      <c r="A25" t="s">
        <v>43</v>
      </c>
      <c r="B25">
        <v>-58</v>
      </c>
      <c r="C25" t="s">
        <v>61</v>
      </c>
      <c r="D25" t="s">
        <v>58</v>
      </c>
    </row>
    <row r="26" spans="1:4" x14ac:dyDescent="0.3">
      <c r="A26" t="s">
        <v>49</v>
      </c>
      <c r="B26">
        <v>-28</v>
      </c>
      <c r="C26" t="s">
        <v>61</v>
      </c>
      <c r="D26" t="s">
        <v>58</v>
      </c>
    </row>
    <row r="27" spans="1:4" x14ac:dyDescent="0.3">
      <c r="A27" t="s">
        <v>50</v>
      </c>
      <c r="B27">
        <v>-18</v>
      </c>
      <c r="C27" t="s">
        <v>61</v>
      </c>
      <c r="D27" t="s">
        <v>58</v>
      </c>
    </row>
    <row r="28" spans="1:4" x14ac:dyDescent="0.3">
      <c r="A28" t="s">
        <v>51</v>
      </c>
      <c r="B28">
        <v>25</v>
      </c>
      <c r="C28" t="s">
        <v>61</v>
      </c>
      <c r="D28" t="s">
        <v>58</v>
      </c>
    </row>
    <row r="29" spans="1:4" x14ac:dyDescent="0.3">
      <c r="A29" t="s">
        <v>45</v>
      </c>
      <c r="B29">
        <v>-63</v>
      </c>
      <c r="C29" t="s">
        <v>61</v>
      </c>
      <c r="D29" t="s">
        <v>60</v>
      </c>
    </row>
    <row r="30" spans="1:4" x14ac:dyDescent="0.3">
      <c r="A30" t="s">
        <v>46</v>
      </c>
      <c r="B30">
        <v>-52</v>
      </c>
      <c r="C30" t="s">
        <v>61</v>
      </c>
      <c r="D30" t="s">
        <v>60</v>
      </c>
    </row>
    <row r="31" spans="1:4" x14ac:dyDescent="0.3">
      <c r="A31" t="s">
        <v>44</v>
      </c>
      <c r="B31">
        <v>-59</v>
      </c>
      <c r="C31" t="s">
        <v>61</v>
      </c>
      <c r="D31" t="s">
        <v>60</v>
      </c>
    </row>
    <row r="32" spans="1:4" x14ac:dyDescent="0.3">
      <c r="A32" t="s">
        <v>47</v>
      </c>
      <c r="B32">
        <v>-54</v>
      </c>
      <c r="C32" t="s">
        <v>61</v>
      </c>
      <c r="D32" t="s">
        <v>60</v>
      </c>
    </row>
    <row r="33" spans="1:4" x14ac:dyDescent="0.3">
      <c r="A33" t="s">
        <v>48</v>
      </c>
      <c r="B33">
        <v>-50</v>
      </c>
      <c r="C33" t="s">
        <v>61</v>
      </c>
      <c r="D33" t="s">
        <v>60</v>
      </c>
    </row>
    <row r="34" spans="1:4" x14ac:dyDescent="0.3">
      <c r="A34" t="s">
        <v>43</v>
      </c>
      <c r="B34">
        <v>-58</v>
      </c>
      <c r="C34" t="s">
        <v>61</v>
      </c>
      <c r="D34" t="s">
        <v>60</v>
      </c>
    </row>
    <row r="35" spans="1:4" x14ac:dyDescent="0.3">
      <c r="A35" t="s">
        <v>49</v>
      </c>
      <c r="B35">
        <v>-28</v>
      </c>
      <c r="C35" t="s">
        <v>61</v>
      </c>
      <c r="D35" t="s">
        <v>60</v>
      </c>
    </row>
    <row r="36" spans="1:4" x14ac:dyDescent="0.3">
      <c r="A36" t="s">
        <v>50</v>
      </c>
      <c r="B36">
        <v>-18</v>
      </c>
      <c r="C36" t="s">
        <v>61</v>
      </c>
      <c r="D36" t="s">
        <v>60</v>
      </c>
    </row>
    <row r="37" spans="1:4" x14ac:dyDescent="0.3">
      <c r="A37" t="s">
        <v>51</v>
      </c>
      <c r="B37">
        <v>25</v>
      </c>
      <c r="C37" t="s">
        <v>61</v>
      </c>
      <c r="D37" t="s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 Lanceman</dc:creator>
  <cp:lastModifiedBy>Dana Lanceman</cp:lastModifiedBy>
  <dcterms:created xsi:type="dcterms:W3CDTF">2021-09-15T03:53:40Z</dcterms:created>
  <dcterms:modified xsi:type="dcterms:W3CDTF">2021-11-09T01:10:35Z</dcterms:modified>
</cp:coreProperties>
</file>