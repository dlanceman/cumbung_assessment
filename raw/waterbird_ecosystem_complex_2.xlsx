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5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6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7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8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9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10.xml" ContentType="application/vnd.openxmlformats-officedocument.drawing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11.xml" ContentType="application/vnd.openxmlformats-officedocument.drawing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204897_ad_unsw_edu_au1/Documents/Desktop/Honours_UNSW/Assessment/cumbung_assessment/raw/"/>
    </mc:Choice>
  </mc:AlternateContent>
  <xr:revisionPtr revIDLastSave="1248" documentId="8_{28C375DF-1E35-4089-A893-AE436DDC28AA}" xr6:coauthVersionLast="47" xr6:coauthVersionMax="47" xr10:uidLastSave="{5F1FFE55-7B8A-4F1B-89E9-062F7413714C}"/>
  <bookViews>
    <workbookView xWindow="4356" yWindow="1536" windowWidth="18564" windowHeight="12192" tabRatio="760" activeTab="5" xr2:uid="{BFF6F465-E264-4485-BC87-B9AF6223CFB6}"/>
  </bookViews>
  <sheets>
    <sheet name="transpose" sheetId="2" r:id="rId1"/>
    <sheet name="old_long_alldata" sheetId="15" r:id="rId2"/>
    <sheet name="old_breed_transpose" sheetId="14" r:id="rId3"/>
    <sheet name="booligal" sheetId="3" r:id="rId4"/>
    <sheet name="chowilla" sheetId="4" r:id="rId5"/>
    <sheet name="cumbung" sheetId="5" r:id="rId6"/>
    <sheet name="gwydir" sheetId="6" r:id="rId7"/>
    <sheet name="hattah" sheetId="7" r:id="rId8"/>
    <sheet name="lowbidgee" sheetId="8" r:id="rId9"/>
    <sheet name="macquariemarshes" sheetId="9" r:id="rId10"/>
    <sheet name="paroo" sheetId="10" r:id="rId11"/>
    <sheet name="renmark" sheetId="11" r:id="rId12"/>
    <sheet name="yantabulla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5" l="1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2" i="15"/>
  <c r="N3" i="15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N61" i="15"/>
  <c r="N62" i="15"/>
  <c r="N63" i="15"/>
  <c r="N64" i="15"/>
  <c r="N65" i="15"/>
  <c r="N66" i="15"/>
  <c r="N67" i="15"/>
  <c r="N68" i="15"/>
  <c r="N69" i="15"/>
  <c r="N70" i="15"/>
  <c r="N71" i="15"/>
  <c r="N72" i="15"/>
  <c r="N73" i="15"/>
  <c r="N74" i="15"/>
  <c r="N75" i="15"/>
  <c r="N76" i="15"/>
  <c r="N77" i="15"/>
  <c r="N78" i="15"/>
  <c r="N79" i="15"/>
  <c r="N80" i="15"/>
  <c r="N81" i="15"/>
  <c r="N82" i="15"/>
  <c r="N83" i="15"/>
  <c r="N84" i="15"/>
  <c r="N85" i="15"/>
  <c r="N86" i="15"/>
  <c r="N87" i="15"/>
  <c r="N88" i="15"/>
  <c r="N89" i="15"/>
  <c r="N90" i="15"/>
  <c r="N91" i="15"/>
  <c r="N92" i="15"/>
  <c r="N93" i="15"/>
  <c r="N94" i="15"/>
  <c r="N95" i="15"/>
  <c r="N96" i="15"/>
  <c r="N97" i="15"/>
  <c r="N98" i="15"/>
  <c r="N99" i="15"/>
  <c r="N2" i="15"/>
  <c r="J99" i="15"/>
  <c r="J98" i="15"/>
  <c r="J97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J4" i="15"/>
  <c r="J3" i="15"/>
  <c r="J2" i="15"/>
  <c r="H2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2" i="15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2" i="15"/>
  <c r="L12" i="2"/>
  <c r="L6" i="2"/>
  <c r="L7" i="2"/>
  <c r="L8" i="2"/>
  <c r="L9" i="2"/>
  <c r="L10" i="2"/>
  <c r="L11" i="2"/>
  <c r="L13" i="2"/>
  <c r="L14" i="2"/>
  <c r="L15" i="2"/>
  <c r="L5" i="2"/>
  <c r="G10" i="3"/>
  <c r="J9" i="6"/>
  <c r="I9" i="6"/>
  <c r="J10" i="6" l="1"/>
  <c r="I10" i="6"/>
  <c r="J11" i="6"/>
  <c r="I11" i="6"/>
  <c r="J12" i="6"/>
  <c r="I12" i="6"/>
  <c r="J2" i="7"/>
  <c r="I2" i="7"/>
  <c r="J3" i="7"/>
  <c r="I3" i="7"/>
  <c r="J4" i="7"/>
  <c r="I4" i="7"/>
  <c r="J5" i="7"/>
  <c r="I5" i="7"/>
  <c r="J6" i="7"/>
  <c r="I6" i="7"/>
  <c r="J7" i="7"/>
  <c r="I7" i="7"/>
  <c r="J8" i="7"/>
  <c r="I8" i="7"/>
  <c r="H8" i="7"/>
  <c r="J9" i="7"/>
  <c r="I9" i="7"/>
  <c r="J10" i="7"/>
  <c r="I10" i="7"/>
  <c r="J11" i="7"/>
  <c r="I11" i="7"/>
  <c r="J12" i="7"/>
  <c r="I12" i="7"/>
  <c r="J13" i="7"/>
  <c r="I13" i="7"/>
  <c r="J14" i="7"/>
  <c r="I14" i="7"/>
  <c r="J15" i="7"/>
  <c r="I15" i="7"/>
</calcChain>
</file>

<file path=xl/sharedStrings.xml><?xml version="1.0" encoding="utf-8"?>
<sst xmlns="http://schemas.openxmlformats.org/spreadsheetml/2006/main" count="305" uniqueCount="128">
  <si>
    <t>Wetland complex</t>
  </si>
  <si>
    <t>Booligal Wetlands</t>
  </si>
  <si>
    <t>Chowilla Lindsay Walpolla</t>
  </si>
  <si>
    <t>Great Cumbung</t>
  </si>
  <si>
    <t>Gwydir</t>
  </si>
  <si>
    <t>Hattah Lakes</t>
  </si>
  <si>
    <t>Lowbidgee</t>
  </si>
  <si>
    <t>Macquarie Marshes</t>
  </si>
  <si>
    <t>Paroo Overflow Lakes</t>
  </si>
  <si>
    <t>Renmark</t>
  </si>
  <si>
    <t>Yantabulla</t>
  </si>
  <si>
    <t>murray_L10_425010</t>
  </si>
  <si>
    <t>flow2sa</t>
  </si>
  <si>
    <t>4mile_weir</t>
  </si>
  <si>
    <t>corrong</t>
  </si>
  <si>
    <t>booligal</t>
  </si>
  <si>
    <t>pinegrove_418012</t>
  </si>
  <si>
    <t>yarraman_418004</t>
  </si>
  <si>
    <t>pallamallawa_418001</t>
  </si>
  <si>
    <t>murrayL10_425010</t>
  </si>
  <si>
    <t>barham_409005</t>
  </si>
  <si>
    <t>maude_410040</t>
  </si>
  <si>
    <t>oxley_421022</t>
  </si>
  <si>
    <t>willara_424002</t>
  </si>
  <si>
    <t>turra</t>
  </si>
  <si>
    <t>std_inun</t>
  </si>
  <si>
    <t>inun.area.km2</t>
  </si>
  <si>
    <t>Booligal_breed</t>
  </si>
  <si>
    <t>breed</t>
  </si>
  <si>
    <t>i</t>
  </si>
  <si>
    <t>floods</t>
  </si>
  <si>
    <t>floods_booligal</t>
  </si>
  <si>
    <t>floods_flows2sa</t>
  </si>
  <si>
    <t>floods_L10_2.5</t>
  </si>
  <si>
    <t>floods_barham_4.85</t>
  </si>
  <si>
    <t>floods_maude_4.75</t>
  </si>
  <si>
    <t>floods_oxley_2.5</t>
  </si>
  <si>
    <t>floods_willara_1.65</t>
  </si>
  <si>
    <t>discharge_3mos</t>
  </si>
  <si>
    <t>discharge_6mos</t>
  </si>
  <si>
    <t>Discharge_12mos</t>
  </si>
  <si>
    <t>SAdischarge_3mos</t>
  </si>
  <si>
    <t>SAdischarge_6mos</t>
  </si>
  <si>
    <t>SADischarge_12mos</t>
  </si>
  <si>
    <t>4discharge_3mos</t>
  </si>
  <si>
    <t>4Discharge_12mos</t>
  </si>
  <si>
    <t>4discharge_6mos</t>
  </si>
  <si>
    <t>Cdischarge_3mos</t>
  </si>
  <si>
    <t>Cdischarge_6mos</t>
  </si>
  <si>
    <t>CDischarge_12mos</t>
  </si>
  <si>
    <t>Ydischarge_3mos</t>
  </si>
  <si>
    <t>Ydischarge_6mos</t>
  </si>
  <si>
    <t>YDischarge_12mos</t>
  </si>
  <si>
    <t>12mos - conservative underestimate</t>
  </si>
  <si>
    <t>notes</t>
  </si>
  <si>
    <t>3mos - entirely a data gap; 12mos - conservative underestimate</t>
  </si>
  <si>
    <t>3mos &amp; 6mos entirely data gaps; 12 mos - conservative underestimate</t>
  </si>
  <si>
    <t>6mos &amp; 12mos - conservative underestimate</t>
  </si>
  <si>
    <t xml:space="preserve">3mos extrapolated from existing data </t>
  </si>
  <si>
    <t>3mos extrapolated from existing data; 6mos &amp; 12mos are conservative underestimates</t>
  </si>
  <si>
    <t>all are conservative underestimates</t>
  </si>
  <si>
    <t>12mos conservative underestimate</t>
  </si>
  <si>
    <t>Tdischarge_3mos</t>
  </si>
  <si>
    <t>Tdischarge_6mos</t>
  </si>
  <si>
    <t>TDischarge_12mos</t>
  </si>
  <si>
    <t>3mos &amp; 6mos extrapolated from existing data</t>
  </si>
  <si>
    <t>3mos entirely a data gap, 6mos &amp; 12mos conservative underestimates</t>
  </si>
  <si>
    <t>6mos &amp; 12mos conservative underestimates</t>
  </si>
  <si>
    <t>3mos 6mos &amp; 12mos conservative underestimates</t>
  </si>
  <si>
    <t>12mos is a conservative underestimate</t>
  </si>
  <si>
    <t>3mos data are missing, so are most of 12mos so it's a very conservative estimate</t>
  </si>
  <si>
    <t>3mos data are missing, so are most of 6mos (very conservative underestimate), 12mos conservative underestimate</t>
  </si>
  <si>
    <t>3mos is a conservative underestimate</t>
  </si>
  <si>
    <t>all conservative underestimates</t>
  </si>
  <si>
    <t>3mos cons underest</t>
  </si>
  <si>
    <t>all esp 12mos cons underest</t>
  </si>
  <si>
    <t xml:space="preserve">3mos data missing/zeroes?, </t>
  </si>
  <si>
    <t>3mos is conservative underestimate</t>
  </si>
  <si>
    <t>colignan_discharge_3mos</t>
  </si>
  <si>
    <t>colignan_discharge_6mos</t>
  </si>
  <si>
    <t>colignan_Discharge_12mos</t>
  </si>
  <si>
    <t>o</t>
  </si>
  <si>
    <t>12mos, slightly 6mos cons underest</t>
  </si>
  <si>
    <t>all cons underest, esp 12mos</t>
  </si>
  <si>
    <t>6mos and esp 12mos cons underest</t>
  </si>
  <si>
    <t>check if 3mos is missing data rather than zero, if missing then 6mos &amp; 12mos are cons underest</t>
  </si>
  <si>
    <t>e</t>
  </si>
  <si>
    <t>u</t>
  </si>
  <si>
    <t>Maude rainfall</t>
  </si>
  <si>
    <t>Lowbidgee birds</t>
  </si>
  <si>
    <t>Hay (corrong) rainfall</t>
  </si>
  <si>
    <t>Cumbung birds</t>
  </si>
  <si>
    <t>Booligal (belmont) rainfall</t>
  </si>
  <si>
    <t>Booligal birds</t>
  </si>
  <si>
    <t>Robinvale rainfall (Hattah)</t>
  </si>
  <si>
    <t>Hattah birds</t>
  </si>
  <si>
    <t>Lindsay point rainfall (chowilla)</t>
  </si>
  <si>
    <t>Chowilla birds</t>
  </si>
  <si>
    <t>Renmark irrigation rainfall</t>
  </si>
  <si>
    <t>Pallamallawa post office (Gwydir) rainfall</t>
  </si>
  <si>
    <t>Gwydir birds</t>
  </si>
  <si>
    <t>Warren - Mumblebone (Macquarie marshes) rainfall</t>
  </si>
  <si>
    <t>Macquarie Marshes birds</t>
  </si>
  <si>
    <t>White cliffs AAWS rainfall (Paroo)</t>
  </si>
  <si>
    <t>Hungerford (willara) rainfall (Yantabulla)</t>
  </si>
  <si>
    <t>Wetland</t>
  </si>
  <si>
    <t>Year</t>
  </si>
  <si>
    <t>Rainfall</t>
  </si>
  <si>
    <t>Flows_3mos</t>
  </si>
  <si>
    <t>Flows_6mos</t>
  </si>
  <si>
    <t>Flows_12mos</t>
  </si>
  <si>
    <t>Waterbird_count</t>
  </si>
  <si>
    <t>Breed</t>
  </si>
  <si>
    <t>Booligal</t>
  </si>
  <si>
    <t>Chowilla</t>
  </si>
  <si>
    <t>Cumbung</t>
  </si>
  <si>
    <t>Hattah</t>
  </si>
  <si>
    <t>Macquarie</t>
  </si>
  <si>
    <t>Paroo</t>
  </si>
  <si>
    <t>CUMBUNG %</t>
  </si>
  <si>
    <t>Waterbirds_log</t>
  </si>
  <si>
    <t>Flows_3mos_log</t>
  </si>
  <si>
    <t>Flows_6mos_log</t>
  </si>
  <si>
    <t>Flows_12mos_log</t>
  </si>
  <si>
    <t>breed_log</t>
  </si>
  <si>
    <t>rainfall_log</t>
  </si>
  <si>
    <t>Chowilla-Lindsay-Wallpolla</t>
  </si>
  <si>
    <t>Macquarie marshes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</si>
</sst>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1" fillId="4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1" fillId="3" borderId="2" xfId="0" applyFont="1" applyFill="1" applyBorder="1" applyAlignment="1">
      <alignment vertical="top" wrapText="1"/>
    </xf>
    <xf numFmtId="0" fontId="4" fillId="5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0" fillId="0" borderId="6" xfId="0" applyBorder="1" applyAlignment="1">
      <alignment vertical="top"/>
    </xf>
    <xf numFmtId="0" fontId="3" fillId="4" borderId="0" xfId="0" applyFont="1" applyFill="1" applyBorder="1" applyAlignment="1">
      <alignment horizontal="left" vertical="center" wrapText="1" readingOrder="1"/>
    </xf>
    <xf numFmtId="0" fontId="6" fillId="2" borderId="0" xfId="0" applyFont="1" applyFill="1" applyBorder="1" applyAlignment="1">
      <alignment horizontal="left" vertical="center" wrapText="1" readingOrder="1"/>
    </xf>
    <xf numFmtId="0" fontId="3" fillId="3" borderId="0" xfId="0" applyFont="1" applyFill="1" applyBorder="1" applyAlignment="1">
      <alignment horizontal="left" vertical="center" wrapText="1" readingOrder="1"/>
    </xf>
    <xf numFmtId="0" fontId="1" fillId="4" borderId="0" xfId="0" applyFont="1" applyFill="1" applyBorder="1" applyAlignment="1">
      <alignment vertical="top" wrapText="1"/>
    </xf>
    <xf numFmtId="0" fontId="1" fillId="3" borderId="0" xfId="0" applyFont="1" applyFill="1" applyBorder="1" applyAlignment="1">
      <alignment vertical="top" wrapText="1"/>
    </xf>
    <xf numFmtId="0" fontId="2" fillId="2" borderId="0" xfId="0" applyFont="1" applyFill="1" applyBorder="1" applyAlignment="1">
      <alignment horizontal="left" vertical="center" wrapText="1" readingOrder="1"/>
    </xf>
    <xf numFmtId="0" fontId="7" fillId="2" borderId="1" xfId="0" applyFont="1" applyFill="1" applyBorder="1" applyAlignment="1">
      <alignment horizontal="left" vertical="center" wrapText="1" readingOrder="1"/>
    </xf>
    <xf numFmtId="0" fontId="7" fillId="2" borderId="2" xfId="0" applyFont="1" applyFill="1" applyBorder="1" applyAlignment="1">
      <alignment horizontal="left" vertical="center" wrapText="1" readingOrder="1"/>
    </xf>
    <xf numFmtId="0" fontId="7" fillId="2" borderId="0" xfId="0" applyFont="1" applyFill="1" applyBorder="1" applyAlignment="1">
      <alignment horizontal="left" vertical="center" wrapText="1" readingOrder="1"/>
    </xf>
    <xf numFmtId="0" fontId="8" fillId="0" borderId="0" xfId="0" applyFont="1"/>
    <xf numFmtId="0" fontId="9" fillId="4" borderId="2" xfId="0" applyFont="1" applyFill="1" applyBorder="1" applyAlignment="1">
      <alignment horizontal="left" vertical="center" wrapText="1" readingOrder="1"/>
    </xf>
    <xf numFmtId="0" fontId="9" fillId="4" borderId="0" xfId="0" applyFont="1" applyFill="1" applyBorder="1" applyAlignment="1">
      <alignment horizontal="left" vertical="center" wrapText="1" readingOrder="1"/>
    </xf>
    <xf numFmtId="0" fontId="10" fillId="4" borderId="2" xfId="0" applyFont="1" applyFill="1" applyBorder="1" applyAlignment="1">
      <alignment vertical="top" wrapText="1"/>
    </xf>
    <xf numFmtId="0" fontId="10" fillId="4" borderId="0" xfId="0" applyFont="1" applyFill="1" applyBorder="1" applyAlignment="1">
      <alignment vertical="top" wrapText="1"/>
    </xf>
    <xf numFmtId="0" fontId="9" fillId="3" borderId="2" xfId="0" applyFont="1" applyFill="1" applyBorder="1" applyAlignment="1">
      <alignment horizontal="left" vertical="center" wrapText="1" readingOrder="1"/>
    </xf>
    <xf numFmtId="0" fontId="9" fillId="3" borderId="0" xfId="0" applyFont="1" applyFill="1" applyBorder="1" applyAlignment="1">
      <alignment horizontal="left" vertical="center" wrapText="1" readingOrder="1"/>
    </xf>
    <xf numFmtId="0" fontId="10" fillId="3" borderId="2" xfId="0" applyFont="1" applyFill="1" applyBorder="1" applyAlignment="1">
      <alignment vertical="top" wrapText="1"/>
    </xf>
    <xf numFmtId="0" fontId="10" fillId="3" borderId="0" xfId="0" applyFont="1" applyFill="1" applyBorder="1" applyAlignment="1">
      <alignment vertical="top" wrapText="1"/>
    </xf>
    <xf numFmtId="0" fontId="2" fillId="2" borderId="7" xfId="0" applyFont="1" applyFill="1" applyBorder="1" applyAlignment="1">
      <alignment horizontal="left" vertical="center" wrapText="1" readingOrder="1"/>
    </xf>
    <xf numFmtId="0" fontId="2" fillId="2" borderId="8" xfId="0" applyFont="1" applyFill="1" applyBorder="1" applyAlignment="1">
      <alignment horizontal="left" vertical="center" wrapText="1" readingOrder="1"/>
    </xf>
    <xf numFmtId="0" fontId="5" fillId="0" borderId="0" xfId="0" applyFont="1" applyFill="1" applyBorder="1" applyAlignment="1">
      <alignment horizontal="left" vertical="center"/>
    </xf>
    <xf numFmtId="0" fontId="8" fillId="0" borderId="0" xfId="0" applyFont="1" applyFill="1" applyBorder="1"/>
    <xf numFmtId="0" fontId="9" fillId="0" borderId="0" xfId="0" applyFont="1" applyFill="1" applyBorder="1" applyAlignment="1">
      <alignment horizontal="left" vertical="center" wrapText="1" readingOrder="1"/>
    </xf>
    <xf numFmtId="0" fontId="11" fillId="0" borderId="0" xfId="0" applyFont="1" applyFill="1" applyBorder="1" applyAlignment="1">
      <alignment horizontal="left" vertical="center" wrapText="1" readingOrder="1"/>
    </xf>
    <xf numFmtId="0" fontId="3" fillId="6" borderId="0" xfId="0" applyFont="1" applyFill="1" applyBorder="1" applyAlignment="1">
      <alignment horizontal="left" vertical="center" wrapText="1" readingOrder="1"/>
    </xf>
    <xf numFmtId="0" fontId="12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Lowbidgee birds vs Maude</a:t>
            </a:r>
            <a:r>
              <a:rPr lang="en-AU" baseline="0"/>
              <a:t> rainfall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transpose!$N$5:$N$15</c:f>
              <c:numCache>
                <c:formatCode>General</c:formatCode>
                <c:ptCount val="11"/>
                <c:pt idx="0">
                  <c:v>670.3</c:v>
                </c:pt>
                <c:pt idx="1">
                  <c:v>654.79999999999995</c:v>
                </c:pt>
                <c:pt idx="2">
                  <c:v>306</c:v>
                </c:pt>
                <c:pt idx="3">
                  <c:v>205.6</c:v>
                </c:pt>
                <c:pt idx="4">
                  <c:v>201.8</c:v>
                </c:pt>
                <c:pt idx="5">
                  <c:v>320.7</c:v>
                </c:pt>
                <c:pt idx="6">
                  <c:v>479.1</c:v>
                </c:pt>
                <c:pt idx="7">
                  <c:v>350.6</c:v>
                </c:pt>
                <c:pt idx="8">
                  <c:v>165.1</c:v>
                </c:pt>
                <c:pt idx="9">
                  <c:v>192</c:v>
                </c:pt>
                <c:pt idx="10">
                  <c:v>332.4</c:v>
                </c:pt>
              </c:numCache>
            </c:numRef>
          </c:xVal>
          <c:yVal>
            <c:numRef>
              <c:f>transpose!$O$5:$O$15</c:f>
              <c:numCache>
                <c:formatCode>General</c:formatCode>
                <c:ptCount val="11"/>
                <c:pt idx="0">
                  <c:v>161848</c:v>
                </c:pt>
                <c:pt idx="1">
                  <c:v>128883</c:v>
                </c:pt>
                <c:pt idx="3">
                  <c:v>28340</c:v>
                </c:pt>
                <c:pt idx="4">
                  <c:v>8884</c:v>
                </c:pt>
                <c:pt idx="5">
                  <c:v>13836</c:v>
                </c:pt>
                <c:pt idx="6">
                  <c:v>50873</c:v>
                </c:pt>
                <c:pt idx="7">
                  <c:v>10725</c:v>
                </c:pt>
                <c:pt idx="8">
                  <c:v>6267</c:v>
                </c:pt>
                <c:pt idx="9">
                  <c:v>6723</c:v>
                </c:pt>
                <c:pt idx="10">
                  <c:v>68575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2F-455E-A41F-9816F0266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587935"/>
        <c:axId val="1064583775"/>
      </c:scatterChart>
      <c:valAx>
        <c:axId val="1064587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583775"/>
        <c:crosses val="autoZero"/>
        <c:crossBetween val="midCat"/>
      </c:valAx>
      <c:valAx>
        <c:axId val="106458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587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Cumbung birds vs Hay (corrong) rainfall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transpose!$P$5:$P$13</c:f>
              <c:numCache>
                <c:formatCode>General</c:formatCode>
                <c:ptCount val="9"/>
                <c:pt idx="0">
                  <c:v>709.63636363636363</c:v>
                </c:pt>
                <c:pt idx="1">
                  <c:v>494.6</c:v>
                </c:pt>
                <c:pt idx="2">
                  <c:v>350.8</c:v>
                </c:pt>
                <c:pt idx="3">
                  <c:v>210.1</c:v>
                </c:pt>
                <c:pt idx="4">
                  <c:v>194.6</c:v>
                </c:pt>
                <c:pt idx="5">
                  <c:v>325.5</c:v>
                </c:pt>
                <c:pt idx="6">
                  <c:v>448.8</c:v>
                </c:pt>
                <c:pt idx="7">
                  <c:v>401.67272727272734</c:v>
                </c:pt>
                <c:pt idx="8">
                  <c:v>148.80000000000001</c:v>
                </c:pt>
              </c:numCache>
            </c:numRef>
          </c:xVal>
          <c:yVal>
            <c:numRef>
              <c:f>transpose!$Q$5:$Q$13</c:f>
              <c:numCache>
                <c:formatCode>General</c:formatCode>
                <c:ptCount val="9"/>
                <c:pt idx="0">
                  <c:v>2118</c:v>
                </c:pt>
                <c:pt idx="1">
                  <c:v>39194</c:v>
                </c:pt>
                <c:pt idx="2">
                  <c:v>30254</c:v>
                </c:pt>
                <c:pt idx="3">
                  <c:v>7586</c:v>
                </c:pt>
                <c:pt idx="4">
                  <c:v>670</c:v>
                </c:pt>
                <c:pt idx="5">
                  <c:v>10779</c:v>
                </c:pt>
                <c:pt idx="6">
                  <c:v>4917</c:v>
                </c:pt>
                <c:pt idx="7">
                  <c:v>6344</c:v>
                </c:pt>
                <c:pt idx="8">
                  <c:v>2197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F0-4E11-8352-1AA8C77C8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825967"/>
        <c:axId val="866824303"/>
      </c:scatterChart>
      <c:valAx>
        <c:axId val="866825967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824303"/>
        <c:crosses val="autoZero"/>
        <c:crossBetween val="midCat"/>
      </c:valAx>
      <c:valAx>
        <c:axId val="866824303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825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Booligal birds vs</a:t>
            </a:r>
            <a:r>
              <a:rPr lang="en-AU" baseline="0"/>
              <a:t> booligal </a:t>
            </a:r>
            <a:r>
              <a:rPr lang="en-AU"/>
              <a:t>(belmont) rainfall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transpose!$R$5:$R$15</c:f>
              <c:numCache>
                <c:formatCode>General</c:formatCode>
                <c:ptCount val="11"/>
                <c:pt idx="0">
                  <c:v>639.79999999999995</c:v>
                </c:pt>
                <c:pt idx="1">
                  <c:v>464</c:v>
                </c:pt>
                <c:pt idx="2">
                  <c:v>450.8</c:v>
                </c:pt>
                <c:pt idx="3">
                  <c:v>250</c:v>
                </c:pt>
                <c:pt idx="4">
                  <c:v>278.39999999999998</c:v>
                </c:pt>
                <c:pt idx="5">
                  <c:v>350.61818181818177</c:v>
                </c:pt>
                <c:pt idx="6">
                  <c:v>477.7</c:v>
                </c:pt>
                <c:pt idx="7">
                  <c:v>302.3</c:v>
                </c:pt>
                <c:pt idx="8">
                  <c:v>223.09090909090909</c:v>
                </c:pt>
                <c:pt idx="9">
                  <c:v>183.9</c:v>
                </c:pt>
                <c:pt idx="10">
                  <c:v>370</c:v>
                </c:pt>
              </c:numCache>
            </c:numRef>
          </c:xVal>
          <c:yVal>
            <c:numRef>
              <c:f>transpose!$S$5:$S$15</c:f>
              <c:numCache>
                <c:formatCode>General</c:formatCode>
                <c:ptCount val="11"/>
                <c:pt idx="0">
                  <c:v>389849</c:v>
                </c:pt>
                <c:pt idx="1">
                  <c:v>20293</c:v>
                </c:pt>
                <c:pt idx="2">
                  <c:v>36279</c:v>
                </c:pt>
                <c:pt idx="3">
                  <c:v>5884</c:v>
                </c:pt>
                <c:pt idx="4">
                  <c:v>2221</c:v>
                </c:pt>
                <c:pt idx="5">
                  <c:v>5434</c:v>
                </c:pt>
                <c:pt idx="6">
                  <c:v>90397</c:v>
                </c:pt>
                <c:pt idx="7">
                  <c:v>8956</c:v>
                </c:pt>
                <c:pt idx="8">
                  <c:v>3496</c:v>
                </c:pt>
                <c:pt idx="9">
                  <c:v>3785</c:v>
                </c:pt>
                <c:pt idx="10">
                  <c:v>40059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38-478B-90AD-037A9BF3C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082000"/>
        <c:axId val="665074096"/>
      </c:scatterChart>
      <c:valAx>
        <c:axId val="665082000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074096"/>
        <c:crosses val="autoZero"/>
        <c:crossBetween val="midCat"/>
      </c:valAx>
      <c:valAx>
        <c:axId val="665074096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082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transpose!$U$1</c:f>
              <c:strCache>
                <c:ptCount val="1"/>
                <c:pt idx="0">
                  <c:v>Hattah birds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transpose!$T$2:$T$15</c:f>
              <c:numCache>
                <c:formatCode>General</c:formatCode>
                <c:ptCount val="14"/>
                <c:pt idx="0">
                  <c:v>309.95999999999992</c:v>
                </c:pt>
                <c:pt idx="1">
                  <c:v>157.30909090909088</c:v>
                </c:pt>
                <c:pt idx="2">
                  <c:v>258.79999999999995</c:v>
                </c:pt>
                <c:pt idx="3">
                  <c:v>493.2</c:v>
                </c:pt>
                <c:pt idx="4">
                  <c:v>469.85454545454542</c:v>
                </c:pt>
                <c:pt idx="5">
                  <c:v>186.5</c:v>
                </c:pt>
                <c:pt idx="6">
                  <c:v>280</c:v>
                </c:pt>
                <c:pt idx="7">
                  <c:v>237.60000000000002</c:v>
                </c:pt>
                <c:pt idx="8">
                  <c:v>202.9</c:v>
                </c:pt>
                <c:pt idx="9">
                  <c:v>266.25</c:v>
                </c:pt>
                <c:pt idx="10">
                  <c:v>341</c:v>
                </c:pt>
                <c:pt idx="11">
                  <c:v>148.03636363636363</c:v>
                </c:pt>
                <c:pt idx="12">
                  <c:v>148.80000000000001</c:v>
                </c:pt>
                <c:pt idx="13">
                  <c:v>207.36000000000004</c:v>
                </c:pt>
              </c:numCache>
            </c:numRef>
          </c:xVal>
          <c:yVal>
            <c:numRef>
              <c:f>transpose!$U$2:$U$15</c:f>
              <c:numCache>
                <c:formatCode>General</c:formatCode>
                <c:ptCount val="14"/>
                <c:pt idx="0">
                  <c:v>31411</c:v>
                </c:pt>
                <c:pt idx="1">
                  <c:v>2682</c:v>
                </c:pt>
                <c:pt idx="2">
                  <c:v>640</c:v>
                </c:pt>
                <c:pt idx="3">
                  <c:v>480</c:v>
                </c:pt>
                <c:pt idx="4">
                  <c:v>2625</c:v>
                </c:pt>
                <c:pt idx="5">
                  <c:v>1744</c:v>
                </c:pt>
                <c:pt idx="6">
                  <c:v>249</c:v>
                </c:pt>
                <c:pt idx="7">
                  <c:v>3008</c:v>
                </c:pt>
                <c:pt idx="8">
                  <c:v>5443</c:v>
                </c:pt>
                <c:pt idx="9">
                  <c:v>210</c:v>
                </c:pt>
                <c:pt idx="10">
                  <c:v>4681</c:v>
                </c:pt>
                <c:pt idx="11">
                  <c:v>3716</c:v>
                </c:pt>
                <c:pt idx="12">
                  <c:v>1201</c:v>
                </c:pt>
                <c:pt idx="13">
                  <c:v>1252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C7-4359-B7A2-F5FF04FBE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327648"/>
        <c:axId val="733329312"/>
      </c:scatterChart>
      <c:valAx>
        <c:axId val="73332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329312"/>
        <c:crosses val="autoZero"/>
        <c:crossBetween val="midCat"/>
      </c:valAx>
      <c:valAx>
        <c:axId val="73332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32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transpose!$W$1</c:f>
              <c:strCache>
                <c:ptCount val="1"/>
                <c:pt idx="0">
                  <c:v>Chowilla birds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transpose!$V$2:$V$15</c:f>
              <c:numCache>
                <c:formatCode>General</c:formatCode>
                <c:ptCount val="14"/>
                <c:pt idx="0">
                  <c:v>260.60000000000002</c:v>
                </c:pt>
                <c:pt idx="1">
                  <c:v>189.81818181818178</c:v>
                </c:pt>
                <c:pt idx="2">
                  <c:v>211.2</c:v>
                </c:pt>
                <c:pt idx="3">
                  <c:v>521.20000000000005</c:v>
                </c:pt>
                <c:pt idx="4">
                  <c:v>483.6</c:v>
                </c:pt>
                <c:pt idx="5">
                  <c:v>200.6</c:v>
                </c:pt>
                <c:pt idx="6">
                  <c:v>268</c:v>
                </c:pt>
                <c:pt idx="7">
                  <c:v>258.60000000000002</c:v>
                </c:pt>
                <c:pt idx="8">
                  <c:v>232</c:v>
                </c:pt>
                <c:pt idx="9">
                  <c:v>349.4</c:v>
                </c:pt>
                <c:pt idx="10">
                  <c:v>249.8</c:v>
                </c:pt>
                <c:pt idx="11">
                  <c:v>193.8</c:v>
                </c:pt>
                <c:pt idx="12">
                  <c:v>91.5</c:v>
                </c:pt>
                <c:pt idx="13">
                  <c:v>289.89999999999998</c:v>
                </c:pt>
              </c:numCache>
            </c:numRef>
          </c:xVal>
          <c:yVal>
            <c:numRef>
              <c:f>transpose!$W$2:$W$15</c:f>
              <c:numCache>
                <c:formatCode>General</c:formatCode>
                <c:ptCount val="14"/>
                <c:pt idx="0">
                  <c:v>7466</c:v>
                </c:pt>
                <c:pt idx="1">
                  <c:v>6320</c:v>
                </c:pt>
                <c:pt idx="2">
                  <c:v>22046</c:v>
                </c:pt>
                <c:pt idx="3">
                  <c:v>5869</c:v>
                </c:pt>
                <c:pt idx="4">
                  <c:v>12508</c:v>
                </c:pt>
                <c:pt idx="5">
                  <c:v>30157</c:v>
                </c:pt>
                <c:pt idx="6">
                  <c:v>7653</c:v>
                </c:pt>
                <c:pt idx="7">
                  <c:v>25183</c:v>
                </c:pt>
                <c:pt idx="8">
                  <c:v>18171</c:v>
                </c:pt>
                <c:pt idx="9">
                  <c:v>2802</c:v>
                </c:pt>
                <c:pt idx="10">
                  <c:v>9989</c:v>
                </c:pt>
                <c:pt idx="11">
                  <c:v>11111</c:v>
                </c:pt>
                <c:pt idx="12">
                  <c:v>23639</c:v>
                </c:pt>
                <c:pt idx="13">
                  <c:v>20909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44-4D48-B29E-431BE16F2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544384"/>
        <c:axId val="733553536"/>
      </c:scatterChart>
      <c:valAx>
        <c:axId val="73354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553536"/>
        <c:crosses val="autoZero"/>
        <c:crossBetween val="midCat"/>
      </c:valAx>
      <c:valAx>
        <c:axId val="73355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54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Renmark birds vs renmark</a:t>
            </a:r>
            <a:r>
              <a:rPr lang="en-AU" baseline="0"/>
              <a:t> irrigation rainfall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transpose!$X$3:$X$15</c:f>
              <c:numCache>
                <c:formatCode>General</c:formatCode>
                <c:ptCount val="13"/>
                <c:pt idx="0">
                  <c:v>217.2</c:v>
                </c:pt>
                <c:pt idx="1">
                  <c:v>227.5</c:v>
                </c:pt>
                <c:pt idx="2">
                  <c:v>424</c:v>
                </c:pt>
                <c:pt idx="3">
                  <c:v>491.2</c:v>
                </c:pt>
                <c:pt idx="4">
                  <c:v>219.3</c:v>
                </c:pt>
                <c:pt idx="5">
                  <c:v>243.7</c:v>
                </c:pt>
                <c:pt idx="6">
                  <c:v>263.60000000000002</c:v>
                </c:pt>
                <c:pt idx="7">
                  <c:v>232.6</c:v>
                </c:pt>
                <c:pt idx="8">
                  <c:v>314.89999999999998</c:v>
                </c:pt>
                <c:pt idx="9">
                  <c:v>240.5</c:v>
                </c:pt>
                <c:pt idx="10">
                  <c:v>166.2</c:v>
                </c:pt>
                <c:pt idx="11">
                  <c:v>120.76363636363637</c:v>
                </c:pt>
                <c:pt idx="12">
                  <c:v>282.60000000000002</c:v>
                </c:pt>
              </c:numCache>
            </c:numRef>
          </c:xVal>
          <c:yVal>
            <c:numRef>
              <c:f>transpose!$Y$3:$Y$15</c:f>
              <c:numCache>
                <c:formatCode>General</c:formatCode>
                <c:ptCount val="13"/>
                <c:pt idx="0">
                  <c:v>5291</c:v>
                </c:pt>
                <c:pt idx="1">
                  <c:v>15611</c:v>
                </c:pt>
                <c:pt idx="2">
                  <c:v>2579</c:v>
                </c:pt>
                <c:pt idx="3">
                  <c:v>17558</c:v>
                </c:pt>
                <c:pt idx="7">
                  <c:v>16853</c:v>
                </c:pt>
                <c:pt idx="8">
                  <c:v>2599</c:v>
                </c:pt>
                <c:pt idx="9">
                  <c:v>21960</c:v>
                </c:pt>
                <c:pt idx="10">
                  <c:v>20610</c:v>
                </c:pt>
                <c:pt idx="11">
                  <c:v>16311</c:v>
                </c:pt>
                <c:pt idx="12">
                  <c:v>16285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D1-421D-B598-DAA11F8D6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1263424"/>
        <c:axId val="581263840"/>
      </c:scatterChart>
      <c:valAx>
        <c:axId val="58126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263840"/>
        <c:crosses val="autoZero"/>
        <c:crossBetween val="midCat"/>
      </c:valAx>
      <c:valAx>
        <c:axId val="58126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26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gwydir</a:t>
            </a:r>
            <a:r>
              <a:rPr lang="en-AU" baseline="0"/>
              <a:t> birds vs pallamallawa post office rainfall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transpose!$Z$5:$Z$15</c:f>
              <c:numCache>
                <c:formatCode>General</c:formatCode>
                <c:ptCount val="11"/>
                <c:pt idx="0">
                  <c:v>713.6</c:v>
                </c:pt>
                <c:pt idx="1">
                  <c:v>953.2</c:v>
                </c:pt>
                <c:pt idx="2">
                  <c:v>721.6</c:v>
                </c:pt>
                <c:pt idx="3">
                  <c:v>565.79999999999995</c:v>
                </c:pt>
                <c:pt idx="4">
                  <c:v>536.79999999999995</c:v>
                </c:pt>
                <c:pt idx="5">
                  <c:v>610.4</c:v>
                </c:pt>
                <c:pt idx="6">
                  <c:v>673.6</c:v>
                </c:pt>
                <c:pt idx="7">
                  <c:v>548.4</c:v>
                </c:pt>
                <c:pt idx="8">
                  <c:v>385.4</c:v>
                </c:pt>
                <c:pt idx="9">
                  <c:v>189</c:v>
                </c:pt>
                <c:pt idx="10">
                  <c:v>656.4</c:v>
                </c:pt>
              </c:numCache>
            </c:numRef>
          </c:xVal>
          <c:yVal>
            <c:numRef>
              <c:f>transpose!$AA$5:$AA$15</c:f>
              <c:numCache>
                <c:formatCode>General</c:formatCode>
                <c:ptCount val="11"/>
                <c:pt idx="0">
                  <c:v>8392</c:v>
                </c:pt>
                <c:pt idx="1">
                  <c:v>25352</c:v>
                </c:pt>
                <c:pt idx="2">
                  <c:v>7528</c:v>
                </c:pt>
                <c:pt idx="4">
                  <c:v>2365</c:v>
                </c:pt>
                <c:pt idx="5">
                  <c:v>1164</c:v>
                </c:pt>
                <c:pt idx="6">
                  <c:v>4359</c:v>
                </c:pt>
                <c:pt idx="7">
                  <c:v>1853</c:v>
                </c:pt>
                <c:pt idx="8">
                  <c:v>18001</c:v>
                </c:pt>
                <c:pt idx="9">
                  <c:v>2021</c:v>
                </c:pt>
                <c:pt idx="10">
                  <c:v>18679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93-4653-85B0-CBEF3A48A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337216"/>
        <c:axId val="733348864"/>
      </c:scatterChart>
      <c:valAx>
        <c:axId val="73333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348864"/>
        <c:crosses val="autoZero"/>
        <c:crossBetween val="midCat"/>
      </c:valAx>
      <c:valAx>
        <c:axId val="73334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33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macquarie marshes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transpose!$AB$5:$AB$14</c:f>
              <c:numCache>
                <c:formatCode>General</c:formatCode>
                <c:ptCount val="10"/>
                <c:pt idx="0">
                  <c:v>973.30909090909086</c:v>
                </c:pt>
                <c:pt idx="1">
                  <c:v>558.6</c:v>
                </c:pt>
                <c:pt idx="2">
                  <c:v>494.2</c:v>
                </c:pt>
                <c:pt idx="3">
                  <c:v>327.2</c:v>
                </c:pt>
                <c:pt idx="4">
                  <c:v>419.6</c:v>
                </c:pt>
                <c:pt idx="5">
                  <c:v>425.8</c:v>
                </c:pt>
                <c:pt idx="6">
                  <c:v>631.79999999999995</c:v>
                </c:pt>
                <c:pt idx="7">
                  <c:v>373.9</c:v>
                </c:pt>
                <c:pt idx="8">
                  <c:v>206.8</c:v>
                </c:pt>
                <c:pt idx="9">
                  <c:v>102</c:v>
                </c:pt>
              </c:numCache>
            </c:numRef>
          </c:xVal>
          <c:yVal>
            <c:numRef>
              <c:f>transpose!$AC$5:$AC$14</c:f>
              <c:numCache>
                <c:formatCode>General</c:formatCode>
                <c:ptCount val="10"/>
                <c:pt idx="0">
                  <c:v>73884</c:v>
                </c:pt>
                <c:pt idx="1">
                  <c:v>79660</c:v>
                </c:pt>
                <c:pt idx="2">
                  <c:v>82041</c:v>
                </c:pt>
                <c:pt idx="3">
                  <c:v>8366</c:v>
                </c:pt>
                <c:pt idx="4">
                  <c:v>6573</c:v>
                </c:pt>
                <c:pt idx="5">
                  <c:v>11116</c:v>
                </c:pt>
                <c:pt idx="6">
                  <c:v>254510</c:v>
                </c:pt>
                <c:pt idx="7">
                  <c:v>15900</c:v>
                </c:pt>
                <c:pt idx="8">
                  <c:v>182</c:v>
                </c:pt>
                <c:pt idx="9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44-47D3-B797-53E79DC56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027280"/>
        <c:axId val="735028528"/>
      </c:scatterChart>
      <c:valAx>
        <c:axId val="73502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028528"/>
        <c:crosses val="autoZero"/>
        <c:crossBetween val="midCat"/>
      </c:valAx>
      <c:valAx>
        <c:axId val="73502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02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Paroo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transpose!$AD$5:$AD$15</c:f>
              <c:numCache>
                <c:formatCode>General</c:formatCode>
                <c:ptCount val="11"/>
                <c:pt idx="0">
                  <c:v>591.4</c:v>
                </c:pt>
                <c:pt idx="1">
                  <c:v>457.2</c:v>
                </c:pt>
                <c:pt idx="2">
                  <c:v>376.8</c:v>
                </c:pt>
                <c:pt idx="3">
                  <c:v>137.19999999999999</c:v>
                </c:pt>
                <c:pt idx="4">
                  <c:v>270</c:v>
                </c:pt>
                <c:pt idx="5">
                  <c:v>275.2</c:v>
                </c:pt>
                <c:pt idx="6">
                  <c:v>405.8</c:v>
                </c:pt>
                <c:pt idx="7">
                  <c:v>156</c:v>
                </c:pt>
                <c:pt idx="8">
                  <c:v>72.2</c:v>
                </c:pt>
                <c:pt idx="9">
                  <c:v>98.6</c:v>
                </c:pt>
                <c:pt idx="10">
                  <c:v>237.2</c:v>
                </c:pt>
              </c:numCache>
            </c:numRef>
          </c:xVal>
          <c:yVal>
            <c:numRef>
              <c:f>transpose!$AE$5:$AE$15</c:f>
              <c:numCache>
                <c:formatCode>General</c:formatCode>
                <c:ptCount val="11"/>
                <c:pt idx="0">
                  <c:v>12021</c:v>
                </c:pt>
                <c:pt idx="1">
                  <c:v>55801</c:v>
                </c:pt>
                <c:pt idx="3">
                  <c:v>120166</c:v>
                </c:pt>
                <c:pt idx="4">
                  <c:v>2537</c:v>
                </c:pt>
                <c:pt idx="5">
                  <c:v>1814</c:v>
                </c:pt>
                <c:pt idx="6">
                  <c:v>1586</c:v>
                </c:pt>
                <c:pt idx="7">
                  <c:v>3821</c:v>
                </c:pt>
                <c:pt idx="9">
                  <c:v>2159</c:v>
                </c:pt>
                <c:pt idx="10">
                  <c:v>10025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71-40BD-BFE1-25E08FBA1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38592"/>
        <c:axId val="664937760"/>
      </c:scatterChart>
      <c:valAx>
        <c:axId val="66493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937760"/>
        <c:crosses val="autoZero"/>
        <c:crossBetween val="midCat"/>
      </c:valAx>
      <c:valAx>
        <c:axId val="66493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93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Yantabulla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4924628171478566"/>
                  <c:y val="4.71606153397491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5.5037182852143481E-3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transpose!$AF$5:$AF$15</c:f>
              <c:numCache>
                <c:formatCode>General</c:formatCode>
                <c:ptCount val="11"/>
                <c:pt idx="0">
                  <c:v>657.5</c:v>
                </c:pt>
                <c:pt idx="1">
                  <c:v>409</c:v>
                </c:pt>
                <c:pt idx="2">
                  <c:v>446</c:v>
                </c:pt>
                <c:pt idx="3">
                  <c:v>159.5</c:v>
                </c:pt>
                <c:pt idx="4">
                  <c:v>283</c:v>
                </c:pt>
                <c:pt idx="5">
                  <c:v>237.5</c:v>
                </c:pt>
                <c:pt idx="6">
                  <c:v>400.5</c:v>
                </c:pt>
                <c:pt idx="7">
                  <c:v>186</c:v>
                </c:pt>
                <c:pt idx="8">
                  <c:v>81</c:v>
                </c:pt>
                <c:pt idx="9">
                  <c:v>174</c:v>
                </c:pt>
                <c:pt idx="10">
                  <c:v>460.5</c:v>
                </c:pt>
              </c:numCache>
            </c:numRef>
          </c:xVal>
          <c:yVal>
            <c:numRef>
              <c:f>transpose!$AG$5:$AG$15</c:f>
              <c:numCache>
                <c:formatCode>General</c:formatCode>
                <c:ptCount val="11"/>
                <c:pt idx="0">
                  <c:v>83008</c:v>
                </c:pt>
                <c:pt idx="6">
                  <c:v>1900</c:v>
                </c:pt>
                <c:pt idx="9">
                  <c:v>2</c:v>
                </c:pt>
                <c:pt idx="10">
                  <c:v>15674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90-49CD-9CFE-2FC985463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050576"/>
        <c:axId val="735052240"/>
      </c:scatterChart>
      <c:valAx>
        <c:axId val="73505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052240"/>
        <c:crosses val="autoZero"/>
        <c:crossBetween val="midCat"/>
      </c:valAx>
      <c:valAx>
        <c:axId val="73505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05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3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booligal!$H$1</c:f>
              <c:strCache>
                <c:ptCount val="1"/>
                <c:pt idx="0">
                  <c:v>Booligal Wetlands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890179352580926"/>
                  <c:y val="-4.23986585010207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booligal!$E$2:$E$13</c:f>
              <c:numCache>
                <c:formatCode>General</c:formatCode>
                <c:ptCount val="12"/>
                <c:pt idx="0">
                  <c:v>1562121.8740000001</c:v>
                </c:pt>
                <c:pt idx="1">
                  <c:v>1673553.878</c:v>
                </c:pt>
                <c:pt idx="2">
                  <c:v>2056181.1869999999</c:v>
                </c:pt>
                <c:pt idx="3">
                  <c:v>1300157.2350000001</c:v>
                </c:pt>
                <c:pt idx="4">
                  <c:v>875105.74600000004</c:v>
                </c:pt>
                <c:pt idx="5">
                  <c:v>724498.19400000002</c:v>
                </c:pt>
                <c:pt idx="6">
                  <c:v>1886877.889</c:v>
                </c:pt>
                <c:pt idx="7">
                  <c:v>742098.89099999995</c:v>
                </c:pt>
                <c:pt idx="8">
                  <c:v>606082.62899999996</c:v>
                </c:pt>
                <c:pt idx="9">
                  <c:v>915685.12199999997</c:v>
                </c:pt>
                <c:pt idx="10">
                  <c:v>783769.89300000004</c:v>
                </c:pt>
              </c:numCache>
            </c:numRef>
          </c:xVal>
          <c:yVal>
            <c:numRef>
              <c:f>booligal!$H$2:$H$13</c:f>
              <c:numCache>
                <c:formatCode>General</c:formatCode>
                <c:ptCount val="12"/>
                <c:pt idx="0">
                  <c:v>195882</c:v>
                </c:pt>
                <c:pt idx="1">
                  <c:v>10355</c:v>
                </c:pt>
                <c:pt idx="2">
                  <c:v>18224</c:v>
                </c:pt>
                <c:pt idx="3">
                  <c:v>2954</c:v>
                </c:pt>
                <c:pt idx="4">
                  <c:v>1263</c:v>
                </c:pt>
                <c:pt idx="5">
                  <c:v>2786</c:v>
                </c:pt>
                <c:pt idx="6">
                  <c:v>76487</c:v>
                </c:pt>
                <c:pt idx="7">
                  <c:v>5943</c:v>
                </c:pt>
                <c:pt idx="8">
                  <c:v>1773</c:v>
                </c:pt>
                <c:pt idx="9">
                  <c:v>3785</c:v>
                </c:pt>
                <c:pt idx="10">
                  <c:v>24763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01-487C-BD07-EE2936F71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90064"/>
        <c:axId val="1642390480"/>
      </c:scatterChart>
      <c:valAx>
        <c:axId val="1642390064"/>
        <c:scaling>
          <c:logBase val="10"/>
          <c:orientation val="minMax"/>
          <c:max val="3000000"/>
          <c:min val="6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total discharge per</a:t>
                </a:r>
                <a:r>
                  <a:rPr lang="en-AU" baseline="0"/>
                  <a:t> 3 months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390480"/>
        <c:crosses val="autoZero"/>
        <c:crossBetween val="midCat"/>
      </c:valAx>
      <c:valAx>
        <c:axId val="164239048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waterbird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39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booligal!$I$1</c:f>
              <c:strCache>
                <c:ptCount val="1"/>
                <c:pt idx="0">
                  <c:v>Booligal_breed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542782152230972"/>
                  <c:y val="-0.164628171478565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booligal!$E$2:$E$13</c:f>
              <c:numCache>
                <c:formatCode>General</c:formatCode>
                <c:ptCount val="12"/>
                <c:pt idx="0">
                  <c:v>1562121.8740000001</c:v>
                </c:pt>
                <c:pt idx="1">
                  <c:v>1673553.878</c:v>
                </c:pt>
                <c:pt idx="2">
                  <c:v>2056181.1869999999</c:v>
                </c:pt>
                <c:pt idx="3">
                  <c:v>1300157.2350000001</c:v>
                </c:pt>
                <c:pt idx="4">
                  <c:v>875105.74600000004</c:v>
                </c:pt>
                <c:pt idx="5">
                  <c:v>724498.19400000002</c:v>
                </c:pt>
                <c:pt idx="6">
                  <c:v>1886877.889</c:v>
                </c:pt>
                <c:pt idx="7">
                  <c:v>742098.89099999995</c:v>
                </c:pt>
                <c:pt idx="8">
                  <c:v>606082.62899999996</c:v>
                </c:pt>
                <c:pt idx="9">
                  <c:v>915685.12199999997</c:v>
                </c:pt>
                <c:pt idx="10">
                  <c:v>783769.89300000004</c:v>
                </c:pt>
              </c:numCache>
            </c:numRef>
          </c:xVal>
          <c:yVal>
            <c:numRef>
              <c:f>booligal!$I$2:$I$13</c:f>
              <c:numCache>
                <c:formatCode>General</c:formatCode>
                <c:ptCount val="12"/>
                <c:pt idx="0">
                  <c:v>132344</c:v>
                </c:pt>
                <c:pt idx="1">
                  <c:v>16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11918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51-47C2-A3E5-57BD67AFA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390064"/>
        <c:axId val="1642390480"/>
      </c:scatterChart>
      <c:valAx>
        <c:axId val="164239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total discharge per</a:t>
                </a:r>
                <a:r>
                  <a:rPr lang="en-AU" baseline="0"/>
                  <a:t> 3 months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390480"/>
        <c:crosses val="autoZero"/>
        <c:crossBetween val="midCat"/>
      </c:valAx>
      <c:valAx>
        <c:axId val="164239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waterbird breeding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39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6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booligal!$H$1</c:f>
              <c:strCache>
                <c:ptCount val="1"/>
                <c:pt idx="0">
                  <c:v>Booligal Wetlands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322900262467193"/>
                  <c:y val="-9.747995042286382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booligal!$F$2:$F$13</c:f>
              <c:numCache>
                <c:formatCode>General</c:formatCode>
                <c:ptCount val="12"/>
                <c:pt idx="0">
                  <c:v>1858866.095</c:v>
                </c:pt>
                <c:pt idx="1">
                  <c:v>2878541.9539999999</c:v>
                </c:pt>
                <c:pt idx="2">
                  <c:v>2977229.9470000002</c:v>
                </c:pt>
                <c:pt idx="3">
                  <c:v>1687224.077</c:v>
                </c:pt>
                <c:pt idx="4">
                  <c:v>1354657.25</c:v>
                </c:pt>
                <c:pt idx="5">
                  <c:v>1347114.071</c:v>
                </c:pt>
                <c:pt idx="6">
                  <c:v>2447115.952</c:v>
                </c:pt>
                <c:pt idx="7">
                  <c:v>1268942.8689999999</c:v>
                </c:pt>
                <c:pt idx="8">
                  <c:v>1213510.7930000001</c:v>
                </c:pt>
                <c:pt idx="9">
                  <c:v>1408571.5830000001</c:v>
                </c:pt>
                <c:pt idx="10">
                  <c:v>1625933.1529999999</c:v>
                </c:pt>
              </c:numCache>
            </c:numRef>
          </c:xVal>
          <c:yVal>
            <c:numRef>
              <c:f>booligal!$H$2:$H$13</c:f>
              <c:numCache>
                <c:formatCode>General</c:formatCode>
                <c:ptCount val="12"/>
                <c:pt idx="0">
                  <c:v>195882</c:v>
                </c:pt>
                <c:pt idx="1">
                  <c:v>10355</c:v>
                </c:pt>
                <c:pt idx="2">
                  <c:v>18224</c:v>
                </c:pt>
                <c:pt idx="3">
                  <c:v>2954</c:v>
                </c:pt>
                <c:pt idx="4">
                  <c:v>1263</c:v>
                </c:pt>
                <c:pt idx="5">
                  <c:v>2786</c:v>
                </c:pt>
                <c:pt idx="6">
                  <c:v>76487</c:v>
                </c:pt>
                <c:pt idx="7">
                  <c:v>5943</c:v>
                </c:pt>
                <c:pt idx="8">
                  <c:v>1773</c:v>
                </c:pt>
                <c:pt idx="9">
                  <c:v>3785</c:v>
                </c:pt>
                <c:pt idx="10">
                  <c:v>24763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AA-4898-93C1-2C677FDA0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438368"/>
        <c:axId val="1652439616"/>
      </c:scatterChart>
      <c:valAx>
        <c:axId val="165243836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439616"/>
        <c:crosses val="autoZero"/>
        <c:crossBetween val="midCat"/>
      </c:valAx>
      <c:valAx>
        <c:axId val="16524396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438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booligal!$I$1</c:f>
              <c:strCache>
                <c:ptCount val="1"/>
                <c:pt idx="0">
                  <c:v>Booligal_breed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booligal!$F$2:$F$13</c:f>
              <c:numCache>
                <c:formatCode>General</c:formatCode>
                <c:ptCount val="12"/>
                <c:pt idx="0">
                  <c:v>1858866.095</c:v>
                </c:pt>
                <c:pt idx="1">
                  <c:v>2878541.9539999999</c:v>
                </c:pt>
                <c:pt idx="2">
                  <c:v>2977229.9470000002</c:v>
                </c:pt>
                <c:pt idx="3">
                  <c:v>1687224.077</c:v>
                </c:pt>
                <c:pt idx="4">
                  <c:v>1354657.25</c:v>
                </c:pt>
                <c:pt idx="5">
                  <c:v>1347114.071</c:v>
                </c:pt>
                <c:pt idx="6">
                  <c:v>2447115.952</c:v>
                </c:pt>
                <c:pt idx="7">
                  <c:v>1268942.8689999999</c:v>
                </c:pt>
                <c:pt idx="8">
                  <c:v>1213510.7930000001</c:v>
                </c:pt>
                <c:pt idx="9">
                  <c:v>1408571.5830000001</c:v>
                </c:pt>
                <c:pt idx="10">
                  <c:v>1625933.1529999999</c:v>
                </c:pt>
              </c:numCache>
            </c:numRef>
          </c:xVal>
          <c:yVal>
            <c:numRef>
              <c:f>booligal!$I$2:$I$13</c:f>
              <c:numCache>
                <c:formatCode>General</c:formatCode>
                <c:ptCount val="12"/>
                <c:pt idx="0">
                  <c:v>132344</c:v>
                </c:pt>
                <c:pt idx="1">
                  <c:v>16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11918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AA-4898-93C1-2C677FDA0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438368"/>
        <c:axId val="1652439616"/>
      </c:scatterChart>
      <c:valAx>
        <c:axId val="165243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439616"/>
        <c:crosses val="autoZero"/>
        <c:crossBetween val="midCat"/>
      </c:valAx>
      <c:valAx>
        <c:axId val="165243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438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12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booligal!$H$1</c:f>
              <c:strCache>
                <c:ptCount val="1"/>
                <c:pt idx="0">
                  <c:v>Booligal Wetlands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booligal!$G$2:$G$13</c:f>
              <c:numCache>
                <c:formatCode>General</c:formatCode>
                <c:ptCount val="12"/>
                <c:pt idx="0">
                  <c:v>2915583.568</c:v>
                </c:pt>
                <c:pt idx="1">
                  <c:v>6812806.6210000003</c:v>
                </c:pt>
                <c:pt idx="2">
                  <c:v>4976851.517</c:v>
                </c:pt>
                <c:pt idx="3">
                  <c:v>2860605.2089999998</c:v>
                </c:pt>
                <c:pt idx="4">
                  <c:v>2966362.3110000002</c:v>
                </c:pt>
                <c:pt idx="5">
                  <c:v>2832815.9939999999</c:v>
                </c:pt>
                <c:pt idx="6">
                  <c:v>3682730.6889999998</c:v>
                </c:pt>
                <c:pt idx="7">
                  <c:v>3281887.71</c:v>
                </c:pt>
                <c:pt idx="8">
                  <c:v>2751080.9189999998</c:v>
                </c:pt>
                <c:pt idx="9">
                  <c:v>3062469.98</c:v>
                </c:pt>
                <c:pt idx="10">
                  <c:v>2928225.926</c:v>
                </c:pt>
              </c:numCache>
            </c:numRef>
          </c:xVal>
          <c:yVal>
            <c:numRef>
              <c:f>booligal!$H$2:$H$13</c:f>
              <c:numCache>
                <c:formatCode>General</c:formatCode>
                <c:ptCount val="12"/>
                <c:pt idx="0">
                  <c:v>195882</c:v>
                </c:pt>
                <c:pt idx="1">
                  <c:v>10355</c:v>
                </c:pt>
                <c:pt idx="2">
                  <c:v>18224</c:v>
                </c:pt>
                <c:pt idx="3">
                  <c:v>2954</c:v>
                </c:pt>
                <c:pt idx="4">
                  <c:v>1263</c:v>
                </c:pt>
                <c:pt idx="5">
                  <c:v>2786</c:v>
                </c:pt>
                <c:pt idx="6">
                  <c:v>76487</c:v>
                </c:pt>
                <c:pt idx="7">
                  <c:v>5943</c:v>
                </c:pt>
                <c:pt idx="8">
                  <c:v>1773</c:v>
                </c:pt>
                <c:pt idx="9">
                  <c:v>3785</c:v>
                </c:pt>
                <c:pt idx="10">
                  <c:v>24763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A7-403E-9E2A-178E6AC59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6588560"/>
        <c:axId val="1696588976"/>
      </c:scatterChart>
      <c:valAx>
        <c:axId val="169658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588976"/>
        <c:crosses val="autoZero"/>
        <c:crossBetween val="midCat"/>
      </c:valAx>
      <c:valAx>
        <c:axId val="169658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58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booligal!$I$1</c:f>
              <c:strCache>
                <c:ptCount val="1"/>
                <c:pt idx="0">
                  <c:v>Booligal_breed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booligal!$G$2:$G$13</c:f>
              <c:numCache>
                <c:formatCode>General</c:formatCode>
                <c:ptCount val="12"/>
                <c:pt idx="0">
                  <c:v>2915583.568</c:v>
                </c:pt>
                <c:pt idx="1">
                  <c:v>6812806.6210000003</c:v>
                </c:pt>
                <c:pt idx="2">
                  <c:v>4976851.517</c:v>
                </c:pt>
                <c:pt idx="3">
                  <c:v>2860605.2089999998</c:v>
                </c:pt>
                <c:pt idx="4">
                  <c:v>2966362.3110000002</c:v>
                </c:pt>
                <c:pt idx="5">
                  <c:v>2832815.9939999999</c:v>
                </c:pt>
                <c:pt idx="6">
                  <c:v>3682730.6889999998</c:v>
                </c:pt>
                <c:pt idx="7">
                  <c:v>3281887.71</c:v>
                </c:pt>
                <c:pt idx="8">
                  <c:v>2751080.9189999998</c:v>
                </c:pt>
                <c:pt idx="9">
                  <c:v>3062469.98</c:v>
                </c:pt>
                <c:pt idx="10">
                  <c:v>2928225.926</c:v>
                </c:pt>
              </c:numCache>
            </c:numRef>
          </c:xVal>
          <c:yVal>
            <c:numRef>
              <c:f>booligal!$I$2:$I$13</c:f>
              <c:numCache>
                <c:formatCode>General</c:formatCode>
                <c:ptCount val="12"/>
                <c:pt idx="0">
                  <c:v>132344</c:v>
                </c:pt>
                <c:pt idx="1">
                  <c:v>16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11918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13-46B4-B9C1-E88EE1D4A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6588560"/>
        <c:axId val="1696588976"/>
      </c:scatterChart>
      <c:valAx>
        <c:axId val="169658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588976"/>
        <c:crosses val="autoZero"/>
        <c:crossBetween val="midCat"/>
      </c:valAx>
      <c:valAx>
        <c:axId val="169658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58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chowilla!$M$1</c:f>
              <c:strCache>
                <c:ptCount val="1"/>
                <c:pt idx="0">
                  <c:v>Chowilla Lindsay Walpolla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1.4287840673980024E-2"/>
                  <c:y val="0.131252551764362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chowilla!$J$2:$J$28</c:f>
              <c:numCache>
                <c:formatCode>General</c:formatCode>
                <c:ptCount val="27"/>
                <c:pt idx="0">
                  <c:v>365137.85399999999</c:v>
                </c:pt>
                <c:pt idx="1">
                  <c:v>210769</c:v>
                </c:pt>
                <c:pt idx="2">
                  <c:v>187307</c:v>
                </c:pt>
                <c:pt idx="3">
                  <c:v>1199541</c:v>
                </c:pt>
                <c:pt idx="4">
                  <c:v>2794337</c:v>
                </c:pt>
                <c:pt idx="5">
                  <c:v>2056181.1869999999</c:v>
                </c:pt>
                <c:pt idx="6">
                  <c:v>1300157.2350000001</c:v>
                </c:pt>
                <c:pt idx="7">
                  <c:v>875105.74600000004</c:v>
                </c:pt>
                <c:pt idx="8">
                  <c:v>740081</c:v>
                </c:pt>
                <c:pt idx="9">
                  <c:v>2746937</c:v>
                </c:pt>
                <c:pt idx="10">
                  <c:v>680773</c:v>
                </c:pt>
                <c:pt idx="11">
                  <c:v>577273</c:v>
                </c:pt>
                <c:pt idx="12">
                  <c:v>378391</c:v>
                </c:pt>
                <c:pt idx="13">
                  <c:v>889090</c:v>
                </c:pt>
              </c:numCache>
            </c:numRef>
          </c:xVal>
          <c:yVal>
            <c:numRef>
              <c:f>chowilla!$M$2:$M$28</c:f>
              <c:numCache>
                <c:formatCode>General</c:formatCode>
                <c:ptCount val="27"/>
                <c:pt idx="0">
                  <c:v>4784</c:v>
                </c:pt>
                <c:pt idx="1">
                  <c:v>15565</c:v>
                </c:pt>
                <c:pt idx="2">
                  <c:v>9169</c:v>
                </c:pt>
                <c:pt idx="3">
                  <c:v>4368</c:v>
                </c:pt>
                <c:pt idx="4">
                  <c:v>25611</c:v>
                </c:pt>
                <c:pt idx="5">
                  <c:v>27176</c:v>
                </c:pt>
                <c:pt idx="6">
                  <c:v>19676</c:v>
                </c:pt>
                <c:pt idx="7">
                  <c:v>34277</c:v>
                </c:pt>
                <c:pt idx="8">
                  <c:v>18344</c:v>
                </c:pt>
                <c:pt idx="9">
                  <c:v>4787</c:v>
                </c:pt>
                <c:pt idx="10">
                  <c:v>18494</c:v>
                </c:pt>
                <c:pt idx="11">
                  <c:v>19627</c:v>
                </c:pt>
                <c:pt idx="12">
                  <c:v>19663</c:v>
                </c:pt>
                <c:pt idx="13">
                  <c:v>21489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60-42EC-908F-51F54F4F1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489248"/>
        <c:axId val="1024489664"/>
      </c:scatterChart>
      <c:valAx>
        <c:axId val="102448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489664"/>
        <c:crosses val="autoZero"/>
        <c:crossBetween val="midCat"/>
      </c:valAx>
      <c:valAx>
        <c:axId val="102448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489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chowilla!$N$1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936521639898982"/>
                  <c:y val="-9.02475211431904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chowilla!$J$2:$J$28</c:f>
              <c:numCache>
                <c:formatCode>General</c:formatCode>
                <c:ptCount val="27"/>
                <c:pt idx="0">
                  <c:v>365137.85399999999</c:v>
                </c:pt>
                <c:pt idx="1">
                  <c:v>210769</c:v>
                </c:pt>
                <c:pt idx="2">
                  <c:v>187307</c:v>
                </c:pt>
                <c:pt idx="3">
                  <c:v>1199541</c:v>
                </c:pt>
                <c:pt idx="4">
                  <c:v>2794337</c:v>
                </c:pt>
                <c:pt idx="5">
                  <c:v>2056181.1869999999</c:v>
                </c:pt>
                <c:pt idx="6">
                  <c:v>1300157.2350000001</c:v>
                </c:pt>
                <c:pt idx="7">
                  <c:v>875105.74600000004</c:v>
                </c:pt>
                <c:pt idx="8">
                  <c:v>740081</c:v>
                </c:pt>
                <c:pt idx="9">
                  <c:v>2746937</c:v>
                </c:pt>
                <c:pt idx="10">
                  <c:v>680773</c:v>
                </c:pt>
                <c:pt idx="11">
                  <c:v>577273</c:v>
                </c:pt>
                <c:pt idx="12">
                  <c:v>378391</c:v>
                </c:pt>
                <c:pt idx="13">
                  <c:v>889090</c:v>
                </c:pt>
              </c:numCache>
            </c:numRef>
          </c:xVal>
          <c:yVal>
            <c:numRef>
              <c:f>chowilla!$N$2:$N$28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101</c:v>
                </c:pt>
                <c:pt idx="3">
                  <c:v>28</c:v>
                </c:pt>
                <c:pt idx="4">
                  <c:v>78</c:v>
                </c:pt>
                <c:pt idx="5">
                  <c:v>341</c:v>
                </c:pt>
                <c:pt idx="6">
                  <c:v>239</c:v>
                </c:pt>
                <c:pt idx="7">
                  <c:v>216</c:v>
                </c:pt>
                <c:pt idx="8">
                  <c:v>0</c:v>
                </c:pt>
                <c:pt idx="9">
                  <c:v>1114</c:v>
                </c:pt>
                <c:pt idx="10">
                  <c:v>36</c:v>
                </c:pt>
                <c:pt idx="11">
                  <c:v>343</c:v>
                </c:pt>
                <c:pt idx="12">
                  <c:v>208</c:v>
                </c:pt>
                <c:pt idx="13">
                  <c:v>1355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3D-498E-BD9B-679AE6734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489248"/>
        <c:axId val="1024489664"/>
      </c:scatterChart>
      <c:valAx>
        <c:axId val="102448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489664"/>
        <c:crosses val="autoZero"/>
        <c:crossBetween val="midCat"/>
      </c:valAx>
      <c:valAx>
        <c:axId val="102448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489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chowilla!$M$1</c:f>
              <c:strCache>
                <c:ptCount val="1"/>
                <c:pt idx="0">
                  <c:v>Chowilla Lindsay Walpolla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3.5057522571583316E-2"/>
                  <c:y val="0.134641294838145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chowilla!$K$2:$K$28</c:f>
              <c:numCache>
                <c:formatCode>General</c:formatCode>
                <c:ptCount val="27"/>
                <c:pt idx="0">
                  <c:v>653077.19999999995</c:v>
                </c:pt>
                <c:pt idx="1">
                  <c:v>375924</c:v>
                </c:pt>
                <c:pt idx="2">
                  <c:v>374082</c:v>
                </c:pt>
                <c:pt idx="3">
                  <c:v>1670796</c:v>
                </c:pt>
                <c:pt idx="4">
                  <c:v>5490841</c:v>
                </c:pt>
                <c:pt idx="5">
                  <c:v>2977229.9470000002</c:v>
                </c:pt>
                <c:pt idx="6">
                  <c:v>1687224.077</c:v>
                </c:pt>
                <c:pt idx="7">
                  <c:v>1354647.25</c:v>
                </c:pt>
                <c:pt idx="8">
                  <c:v>1201491</c:v>
                </c:pt>
                <c:pt idx="9">
                  <c:v>3084957</c:v>
                </c:pt>
                <c:pt idx="10">
                  <c:v>1237677</c:v>
                </c:pt>
                <c:pt idx="11">
                  <c:v>987643</c:v>
                </c:pt>
                <c:pt idx="12">
                  <c:v>749081</c:v>
                </c:pt>
                <c:pt idx="13">
                  <c:v>1326324</c:v>
                </c:pt>
              </c:numCache>
            </c:numRef>
          </c:xVal>
          <c:yVal>
            <c:numRef>
              <c:f>chowilla!$M$2:$M$28</c:f>
              <c:numCache>
                <c:formatCode>General</c:formatCode>
                <c:ptCount val="27"/>
                <c:pt idx="0">
                  <c:v>4784</c:v>
                </c:pt>
                <c:pt idx="1">
                  <c:v>15565</c:v>
                </c:pt>
                <c:pt idx="2">
                  <c:v>9169</c:v>
                </c:pt>
                <c:pt idx="3">
                  <c:v>4368</c:v>
                </c:pt>
                <c:pt idx="4">
                  <c:v>25611</c:v>
                </c:pt>
                <c:pt idx="5">
                  <c:v>27176</c:v>
                </c:pt>
                <c:pt idx="6">
                  <c:v>19676</c:v>
                </c:pt>
                <c:pt idx="7">
                  <c:v>34277</c:v>
                </c:pt>
                <c:pt idx="8">
                  <c:v>18344</c:v>
                </c:pt>
                <c:pt idx="9">
                  <c:v>4787</c:v>
                </c:pt>
                <c:pt idx="10">
                  <c:v>18494</c:v>
                </c:pt>
                <c:pt idx="11">
                  <c:v>19627</c:v>
                </c:pt>
                <c:pt idx="12">
                  <c:v>19663</c:v>
                </c:pt>
                <c:pt idx="13">
                  <c:v>21489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3C-4123-BAD8-DB279ACB3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638128"/>
        <c:axId val="1474634384"/>
      </c:scatterChart>
      <c:valAx>
        <c:axId val="147463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634384"/>
        <c:crosses val="autoZero"/>
        <c:crossBetween val="midCat"/>
      </c:valAx>
      <c:valAx>
        <c:axId val="147463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63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chowilla!$N$1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3.5057522571583316E-2"/>
                  <c:y val="0.134641294838145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chowilla!$K$2:$K$28</c:f>
              <c:numCache>
                <c:formatCode>General</c:formatCode>
                <c:ptCount val="27"/>
                <c:pt idx="0">
                  <c:v>653077.19999999995</c:v>
                </c:pt>
                <c:pt idx="1">
                  <c:v>375924</c:v>
                </c:pt>
                <c:pt idx="2">
                  <c:v>374082</c:v>
                </c:pt>
                <c:pt idx="3">
                  <c:v>1670796</c:v>
                </c:pt>
                <c:pt idx="4">
                  <c:v>5490841</c:v>
                </c:pt>
                <c:pt idx="5">
                  <c:v>2977229.9470000002</c:v>
                </c:pt>
                <c:pt idx="6">
                  <c:v>1687224.077</c:v>
                </c:pt>
                <c:pt idx="7">
                  <c:v>1354647.25</c:v>
                </c:pt>
                <c:pt idx="8">
                  <c:v>1201491</c:v>
                </c:pt>
                <c:pt idx="9">
                  <c:v>3084957</c:v>
                </c:pt>
                <c:pt idx="10">
                  <c:v>1237677</c:v>
                </c:pt>
                <c:pt idx="11">
                  <c:v>987643</c:v>
                </c:pt>
                <c:pt idx="12">
                  <c:v>749081</c:v>
                </c:pt>
                <c:pt idx="13">
                  <c:v>1326324</c:v>
                </c:pt>
              </c:numCache>
            </c:numRef>
          </c:xVal>
          <c:yVal>
            <c:numRef>
              <c:f>chowilla!$N$2:$N$28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101</c:v>
                </c:pt>
                <c:pt idx="3">
                  <c:v>28</c:v>
                </c:pt>
                <c:pt idx="4">
                  <c:v>78</c:v>
                </c:pt>
                <c:pt idx="5">
                  <c:v>341</c:v>
                </c:pt>
                <c:pt idx="6">
                  <c:v>239</c:v>
                </c:pt>
                <c:pt idx="7">
                  <c:v>216</c:v>
                </c:pt>
                <c:pt idx="8">
                  <c:v>0</c:v>
                </c:pt>
                <c:pt idx="9">
                  <c:v>1114</c:v>
                </c:pt>
                <c:pt idx="10">
                  <c:v>36</c:v>
                </c:pt>
                <c:pt idx="11">
                  <c:v>343</c:v>
                </c:pt>
                <c:pt idx="12">
                  <c:v>208</c:v>
                </c:pt>
                <c:pt idx="13">
                  <c:v>1355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B4-41A5-AC87-A86235A02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638128"/>
        <c:axId val="1474634384"/>
      </c:scatterChart>
      <c:valAx>
        <c:axId val="147463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634384"/>
        <c:crosses val="autoZero"/>
        <c:crossBetween val="midCat"/>
      </c:valAx>
      <c:valAx>
        <c:axId val="147463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63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chowilla!$M$1</c:f>
              <c:strCache>
                <c:ptCount val="1"/>
                <c:pt idx="0">
                  <c:v>Chowilla Lindsay Walpolla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3084229197377727E-2"/>
                  <c:y val="-7.41630212890055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chowilla!$L$2:$L$28</c:f>
              <c:numCache>
                <c:formatCode>General</c:formatCode>
                <c:ptCount val="27"/>
                <c:pt idx="0">
                  <c:v>3798051.889</c:v>
                </c:pt>
                <c:pt idx="1">
                  <c:v>1038675</c:v>
                </c:pt>
                <c:pt idx="2">
                  <c:v>1149604</c:v>
                </c:pt>
                <c:pt idx="3">
                  <c:v>2822085</c:v>
                </c:pt>
                <c:pt idx="4">
                  <c:v>16983482</c:v>
                </c:pt>
                <c:pt idx="5">
                  <c:v>4976851.517</c:v>
                </c:pt>
                <c:pt idx="6">
                  <c:v>2860605.2089999998</c:v>
                </c:pt>
                <c:pt idx="7">
                  <c:v>2966362.3110000002</c:v>
                </c:pt>
                <c:pt idx="8">
                  <c:v>2780255</c:v>
                </c:pt>
                <c:pt idx="9">
                  <c:v>4458134</c:v>
                </c:pt>
                <c:pt idx="10">
                  <c:v>7179771</c:v>
                </c:pt>
                <c:pt idx="11">
                  <c:v>2583054</c:v>
                </c:pt>
                <c:pt idx="12">
                  <c:v>2211894</c:v>
                </c:pt>
                <c:pt idx="13">
                  <c:v>2984212</c:v>
                </c:pt>
              </c:numCache>
            </c:numRef>
          </c:xVal>
          <c:yVal>
            <c:numRef>
              <c:f>chowilla!$M$2:$M$28</c:f>
              <c:numCache>
                <c:formatCode>General</c:formatCode>
                <c:ptCount val="27"/>
                <c:pt idx="0">
                  <c:v>4784</c:v>
                </c:pt>
                <c:pt idx="1">
                  <c:v>15565</c:v>
                </c:pt>
                <c:pt idx="2">
                  <c:v>9169</c:v>
                </c:pt>
                <c:pt idx="3">
                  <c:v>4368</c:v>
                </c:pt>
                <c:pt idx="4">
                  <c:v>25611</c:v>
                </c:pt>
                <c:pt idx="5">
                  <c:v>27176</c:v>
                </c:pt>
                <c:pt idx="6">
                  <c:v>19676</c:v>
                </c:pt>
                <c:pt idx="7">
                  <c:v>34277</c:v>
                </c:pt>
                <c:pt idx="8">
                  <c:v>18344</c:v>
                </c:pt>
                <c:pt idx="9">
                  <c:v>4787</c:v>
                </c:pt>
                <c:pt idx="10">
                  <c:v>18494</c:v>
                </c:pt>
                <c:pt idx="11">
                  <c:v>19627</c:v>
                </c:pt>
                <c:pt idx="12">
                  <c:v>19663</c:v>
                </c:pt>
                <c:pt idx="13">
                  <c:v>21489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7F-4487-8605-1A1D1510A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963344"/>
        <c:axId val="1648973744"/>
      </c:scatterChart>
      <c:valAx>
        <c:axId val="164896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973744"/>
        <c:crosses val="autoZero"/>
        <c:crossBetween val="midCat"/>
      </c:valAx>
      <c:valAx>
        <c:axId val="164897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96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chowilla!$N$1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3084229197377727E-2"/>
                  <c:y val="-7.41630212890055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chowilla!$L$2:$L$28</c:f>
              <c:numCache>
                <c:formatCode>General</c:formatCode>
                <c:ptCount val="27"/>
                <c:pt idx="0">
                  <c:v>3798051.889</c:v>
                </c:pt>
                <c:pt idx="1">
                  <c:v>1038675</c:v>
                </c:pt>
                <c:pt idx="2">
                  <c:v>1149604</c:v>
                </c:pt>
                <c:pt idx="3">
                  <c:v>2822085</c:v>
                </c:pt>
                <c:pt idx="4">
                  <c:v>16983482</c:v>
                </c:pt>
                <c:pt idx="5">
                  <c:v>4976851.517</c:v>
                </c:pt>
                <c:pt idx="6">
                  <c:v>2860605.2089999998</c:v>
                </c:pt>
                <c:pt idx="7">
                  <c:v>2966362.3110000002</c:v>
                </c:pt>
                <c:pt idx="8">
                  <c:v>2780255</c:v>
                </c:pt>
                <c:pt idx="9">
                  <c:v>4458134</c:v>
                </c:pt>
                <c:pt idx="10">
                  <c:v>7179771</c:v>
                </c:pt>
                <c:pt idx="11">
                  <c:v>2583054</c:v>
                </c:pt>
                <c:pt idx="12">
                  <c:v>2211894</c:v>
                </c:pt>
                <c:pt idx="13">
                  <c:v>2984212</c:v>
                </c:pt>
              </c:numCache>
            </c:numRef>
          </c:xVal>
          <c:yVal>
            <c:numRef>
              <c:f>chowilla!$N$2:$N$28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101</c:v>
                </c:pt>
                <c:pt idx="3">
                  <c:v>28</c:v>
                </c:pt>
                <c:pt idx="4">
                  <c:v>78</c:v>
                </c:pt>
                <c:pt idx="5">
                  <c:v>341</c:v>
                </c:pt>
                <c:pt idx="6">
                  <c:v>239</c:v>
                </c:pt>
                <c:pt idx="7">
                  <c:v>216</c:v>
                </c:pt>
                <c:pt idx="8">
                  <c:v>0</c:v>
                </c:pt>
                <c:pt idx="9">
                  <c:v>1114</c:v>
                </c:pt>
                <c:pt idx="10">
                  <c:v>36</c:v>
                </c:pt>
                <c:pt idx="11">
                  <c:v>343</c:v>
                </c:pt>
                <c:pt idx="12">
                  <c:v>208</c:v>
                </c:pt>
                <c:pt idx="13">
                  <c:v>1355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76-4AE2-8097-53BC97FFB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963344"/>
        <c:axId val="1648973744"/>
      </c:scatterChart>
      <c:valAx>
        <c:axId val="164896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973744"/>
        <c:crosses val="autoZero"/>
        <c:crossBetween val="midCat"/>
      </c:valAx>
      <c:valAx>
        <c:axId val="164897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96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 mile 3 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cumbung!$P$1</c:f>
              <c:strCache>
                <c:ptCount val="1"/>
                <c:pt idx="0">
                  <c:v>Great Cumbung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cumbung!$I$2:$I$13</c:f>
              <c:numCache>
                <c:formatCode>General</c:formatCode>
                <c:ptCount val="12"/>
                <c:pt idx="0">
                  <c:v>12379.522000000001</c:v>
                </c:pt>
                <c:pt idx="1">
                  <c:v>1892.7629999999999</c:v>
                </c:pt>
                <c:pt idx="2">
                  <c:v>0</c:v>
                </c:pt>
                <c:pt idx="3">
                  <c:v>11686.675999999999</c:v>
                </c:pt>
                <c:pt idx="4">
                  <c:v>3199.393</c:v>
                </c:pt>
                <c:pt idx="5">
                  <c:v>24984.635999999999</c:v>
                </c:pt>
                <c:pt idx="6">
                  <c:v>52838.879000000001</c:v>
                </c:pt>
                <c:pt idx="7">
                  <c:v>2330.3310000000001</c:v>
                </c:pt>
                <c:pt idx="8">
                  <c:v>2563.0010000000002</c:v>
                </c:pt>
                <c:pt idx="9">
                  <c:v>1613.5129999999999</c:v>
                </c:pt>
                <c:pt idx="10">
                  <c:v>21737.867999999999</c:v>
                </c:pt>
              </c:numCache>
            </c:numRef>
          </c:xVal>
          <c:yVal>
            <c:numRef>
              <c:f>cumbung!$P$2:$P$13</c:f>
              <c:numCache>
                <c:formatCode>General</c:formatCode>
                <c:ptCount val="12"/>
                <c:pt idx="0">
                  <c:v>2118</c:v>
                </c:pt>
                <c:pt idx="1">
                  <c:v>39194</c:v>
                </c:pt>
                <c:pt idx="2">
                  <c:v>30254</c:v>
                </c:pt>
                <c:pt idx="3">
                  <c:v>7586</c:v>
                </c:pt>
                <c:pt idx="4">
                  <c:v>670</c:v>
                </c:pt>
                <c:pt idx="5">
                  <c:v>10779</c:v>
                </c:pt>
                <c:pt idx="6">
                  <c:v>4917</c:v>
                </c:pt>
                <c:pt idx="7">
                  <c:v>6344</c:v>
                </c:pt>
                <c:pt idx="8">
                  <c:v>2197</c:v>
                </c:pt>
                <c:pt idx="9">
                  <c:v>1272</c:v>
                </c:pt>
                <c:pt idx="10">
                  <c:v>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5-4650-891B-1C9940A2F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646400"/>
        <c:axId val="1692641408"/>
      </c:scatterChart>
      <c:valAx>
        <c:axId val="169264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641408"/>
        <c:crosses val="autoZero"/>
        <c:crossBetween val="midCat"/>
      </c:valAx>
      <c:valAx>
        <c:axId val="169264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64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cumbung!$Q$1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cumbung!$I$2:$I$13</c:f>
              <c:numCache>
                <c:formatCode>General</c:formatCode>
                <c:ptCount val="12"/>
                <c:pt idx="0">
                  <c:v>12379.522000000001</c:v>
                </c:pt>
                <c:pt idx="1">
                  <c:v>1892.7629999999999</c:v>
                </c:pt>
                <c:pt idx="2">
                  <c:v>0</c:v>
                </c:pt>
                <c:pt idx="3">
                  <c:v>11686.675999999999</c:v>
                </c:pt>
                <c:pt idx="4">
                  <c:v>3199.393</c:v>
                </c:pt>
                <c:pt idx="5">
                  <c:v>24984.635999999999</c:v>
                </c:pt>
                <c:pt idx="6">
                  <c:v>52838.879000000001</c:v>
                </c:pt>
                <c:pt idx="7">
                  <c:v>2330.3310000000001</c:v>
                </c:pt>
                <c:pt idx="8">
                  <c:v>2563.0010000000002</c:v>
                </c:pt>
                <c:pt idx="9">
                  <c:v>1613.5129999999999</c:v>
                </c:pt>
                <c:pt idx="10">
                  <c:v>21737.867999999999</c:v>
                </c:pt>
              </c:numCache>
            </c:numRef>
          </c:xVal>
          <c:yVal>
            <c:numRef>
              <c:f>cumbung!$Q$2:$Q$13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CD-49E6-8B4F-01C6AC9F8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646400"/>
        <c:axId val="1692641408"/>
      </c:scatterChart>
      <c:valAx>
        <c:axId val="169264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641408"/>
        <c:crosses val="autoZero"/>
        <c:crossBetween val="midCat"/>
      </c:valAx>
      <c:valAx>
        <c:axId val="169264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64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 mile 6 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cumbung!$P$1</c:f>
              <c:strCache>
                <c:ptCount val="1"/>
                <c:pt idx="0">
                  <c:v>Great Cumbung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2996413166558668"/>
                  <c:y val="-0.154026822976458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cumbung!$J$2:$J$13</c:f>
              <c:numCache>
                <c:formatCode>General</c:formatCode>
                <c:ptCount val="12"/>
                <c:pt idx="0">
                  <c:v>16600.183000000001</c:v>
                </c:pt>
                <c:pt idx="1">
                  <c:v>5272.05</c:v>
                </c:pt>
                <c:pt idx="2">
                  <c:v>55159.502</c:v>
                </c:pt>
                <c:pt idx="3">
                  <c:v>18943.951000000001</c:v>
                </c:pt>
                <c:pt idx="4">
                  <c:v>5692.65</c:v>
                </c:pt>
                <c:pt idx="5">
                  <c:v>27064.558000000001</c:v>
                </c:pt>
                <c:pt idx="6">
                  <c:v>56106.699000000001</c:v>
                </c:pt>
                <c:pt idx="7">
                  <c:v>7058.4939999999997</c:v>
                </c:pt>
                <c:pt idx="8">
                  <c:v>6961.3270000000002</c:v>
                </c:pt>
                <c:pt idx="9">
                  <c:v>11475.462</c:v>
                </c:pt>
                <c:pt idx="10">
                  <c:v>25109.280999999999</c:v>
                </c:pt>
              </c:numCache>
            </c:numRef>
          </c:xVal>
          <c:yVal>
            <c:numRef>
              <c:f>cumbung!$P$2:$P$13</c:f>
              <c:numCache>
                <c:formatCode>General</c:formatCode>
                <c:ptCount val="12"/>
                <c:pt idx="0">
                  <c:v>2118</c:v>
                </c:pt>
                <c:pt idx="1">
                  <c:v>39194</c:v>
                </c:pt>
                <c:pt idx="2">
                  <c:v>30254</c:v>
                </c:pt>
                <c:pt idx="3">
                  <c:v>7586</c:v>
                </c:pt>
                <c:pt idx="4">
                  <c:v>670</c:v>
                </c:pt>
                <c:pt idx="5">
                  <c:v>10779</c:v>
                </c:pt>
                <c:pt idx="6">
                  <c:v>4917</c:v>
                </c:pt>
                <c:pt idx="7">
                  <c:v>6344</c:v>
                </c:pt>
                <c:pt idx="8">
                  <c:v>2197</c:v>
                </c:pt>
                <c:pt idx="9">
                  <c:v>1272</c:v>
                </c:pt>
                <c:pt idx="10">
                  <c:v>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F8-4DB6-B250-07B80160F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802832"/>
        <c:axId val="1682804912"/>
      </c:scatterChart>
      <c:valAx>
        <c:axId val="168280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04912"/>
        <c:crosses val="autoZero"/>
        <c:crossBetween val="midCat"/>
      </c:valAx>
      <c:valAx>
        <c:axId val="168280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0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 mile 6 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cumbung!$Q$1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cumbung!$J$2:$J$13</c:f>
              <c:numCache>
                <c:formatCode>General</c:formatCode>
                <c:ptCount val="12"/>
                <c:pt idx="0">
                  <c:v>16600.183000000001</c:v>
                </c:pt>
                <c:pt idx="1">
                  <c:v>5272.05</c:v>
                </c:pt>
                <c:pt idx="2">
                  <c:v>55159.502</c:v>
                </c:pt>
                <c:pt idx="3">
                  <c:v>18943.951000000001</c:v>
                </c:pt>
                <c:pt idx="4">
                  <c:v>5692.65</c:v>
                </c:pt>
                <c:pt idx="5">
                  <c:v>27064.558000000001</c:v>
                </c:pt>
                <c:pt idx="6">
                  <c:v>56106.699000000001</c:v>
                </c:pt>
                <c:pt idx="7">
                  <c:v>7058.4939999999997</c:v>
                </c:pt>
                <c:pt idx="8">
                  <c:v>6961.3270000000002</c:v>
                </c:pt>
                <c:pt idx="9">
                  <c:v>11475.462</c:v>
                </c:pt>
                <c:pt idx="10">
                  <c:v>25109.280999999999</c:v>
                </c:pt>
              </c:numCache>
            </c:numRef>
          </c:xVal>
          <c:yVal>
            <c:numRef>
              <c:f>cumbung!$Q$2:$Q$13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1A-4FD3-AD5B-9082456F3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802832"/>
        <c:axId val="1682804912"/>
      </c:scatterChart>
      <c:valAx>
        <c:axId val="168280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04912"/>
        <c:crosses val="autoZero"/>
        <c:crossBetween val="midCat"/>
      </c:valAx>
      <c:valAx>
        <c:axId val="168280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80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 mile 12 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cumbung!$P$1</c:f>
              <c:strCache>
                <c:ptCount val="1"/>
                <c:pt idx="0">
                  <c:v>Great Cumbung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cumbung!$K$2:$K$13</c:f>
              <c:numCache>
                <c:formatCode>General</c:formatCode>
                <c:ptCount val="12"/>
                <c:pt idx="0">
                  <c:v>22766.635999999999</c:v>
                </c:pt>
                <c:pt idx="1">
                  <c:v>74045.875</c:v>
                </c:pt>
                <c:pt idx="2">
                  <c:v>95563.508000000002</c:v>
                </c:pt>
                <c:pt idx="3">
                  <c:v>54327.233999999997</c:v>
                </c:pt>
                <c:pt idx="4">
                  <c:v>17500.705999999998</c:v>
                </c:pt>
                <c:pt idx="5">
                  <c:v>3668.6759999999999</c:v>
                </c:pt>
                <c:pt idx="6">
                  <c:v>81010.047000000006</c:v>
                </c:pt>
                <c:pt idx="7">
                  <c:v>137902.81400000001</c:v>
                </c:pt>
                <c:pt idx="8">
                  <c:v>34835.921999999999</c:v>
                </c:pt>
                <c:pt idx="9">
                  <c:v>26991.26</c:v>
                </c:pt>
                <c:pt idx="10">
                  <c:v>35146.091</c:v>
                </c:pt>
              </c:numCache>
            </c:numRef>
          </c:xVal>
          <c:yVal>
            <c:numRef>
              <c:f>cumbung!$P$2:$P$13</c:f>
              <c:numCache>
                <c:formatCode>General</c:formatCode>
                <c:ptCount val="12"/>
                <c:pt idx="0">
                  <c:v>2118</c:v>
                </c:pt>
                <c:pt idx="1">
                  <c:v>39194</c:v>
                </c:pt>
                <c:pt idx="2">
                  <c:v>30254</c:v>
                </c:pt>
                <c:pt idx="3">
                  <c:v>7586</c:v>
                </c:pt>
                <c:pt idx="4">
                  <c:v>670</c:v>
                </c:pt>
                <c:pt idx="5">
                  <c:v>10779</c:v>
                </c:pt>
                <c:pt idx="6">
                  <c:v>4917</c:v>
                </c:pt>
                <c:pt idx="7">
                  <c:v>6344</c:v>
                </c:pt>
                <c:pt idx="8">
                  <c:v>2197</c:v>
                </c:pt>
                <c:pt idx="9">
                  <c:v>1272</c:v>
                </c:pt>
                <c:pt idx="10">
                  <c:v>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38-432B-B586-181E3D8F0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120736"/>
        <c:axId val="1805122400"/>
      </c:scatterChart>
      <c:valAx>
        <c:axId val="18051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122400"/>
        <c:crosses val="autoZero"/>
        <c:crossBetween val="midCat"/>
      </c:valAx>
      <c:valAx>
        <c:axId val="180512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120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 mile 12 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cumbung!$Q$1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cumbung!$K$2:$K$13</c:f>
              <c:numCache>
                <c:formatCode>General</c:formatCode>
                <c:ptCount val="12"/>
                <c:pt idx="0">
                  <c:v>22766.635999999999</c:v>
                </c:pt>
                <c:pt idx="1">
                  <c:v>74045.875</c:v>
                </c:pt>
                <c:pt idx="2">
                  <c:v>95563.508000000002</c:v>
                </c:pt>
                <c:pt idx="3">
                  <c:v>54327.233999999997</c:v>
                </c:pt>
                <c:pt idx="4">
                  <c:v>17500.705999999998</c:v>
                </c:pt>
                <c:pt idx="5">
                  <c:v>3668.6759999999999</c:v>
                </c:pt>
                <c:pt idx="6">
                  <c:v>81010.047000000006</c:v>
                </c:pt>
                <c:pt idx="7">
                  <c:v>137902.81400000001</c:v>
                </c:pt>
                <c:pt idx="8">
                  <c:v>34835.921999999999</c:v>
                </c:pt>
                <c:pt idx="9">
                  <c:v>26991.26</c:v>
                </c:pt>
                <c:pt idx="10">
                  <c:v>35146.091</c:v>
                </c:pt>
              </c:numCache>
            </c:numRef>
          </c:xVal>
          <c:yVal>
            <c:numRef>
              <c:f>cumbung!$Q$2:$Q$13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88-476D-8E64-B69E85C1D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120736"/>
        <c:axId val="1805122400"/>
      </c:scatterChart>
      <c:valAx>
        <c:axId val="18051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122400"/>
        <c:crosses val="autoZero"/>
        <c:crossBetween val="midCat"/>
      </c:valAx>
      <c:valAx>
        <c:axId val="180512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120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Corrong 3 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cumbung!$P$1</c:f>
              <c:strCache>
                <c:ptCount val="1"/>
                <c:pt idx="0">
                  <c:v>Great Cumbung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cumbung!$M$2:$M$13</c:f>
              <c:numCache>
                <c:formatCode>General</c:formatCode>
                <c:ptCount val="12"/>
                <c:pt idx="0">
                  <c:v>20785.695</c:v>
                </c:pt>
                <c:pt idx="1">
                  <c:v>7331.2479999999996</c:v>
                </c:pt>
                <c:pt idx="2">
                  <c:v>145175.03200000001</c:v>
                </c:pt>
                <c:pt idx="3">
                  <c:v>23708.996999999999</c:v>
                </c:pt>
                <c:pt idx="4">
                  <c:v>6133.5550000000003</c:v>
                </c:pt>
                <c:pt idx="5">
                  <c:v>35969.584000000003</c:v>
                </c:pt>
                <c:pt idx="6">
                  <c:v>86874.664000000004</c:v>
                </c:pt>
                <c:pt idx="7">
                  <c:v>3960.4029999999998</c:v>
                </c:pt>
                <c:pt idx="8">
                  <c:v>6012.4430000000002</c:v>
                </c:pt>
                <c:pt idx="9">
                  <c:v>1506.56</c:v>
                </c:pt>
                <c:pt idx="10">
                  <c:v>32050.717000000001</c:v>
                </c:pt>
              </c:numCache>
            </c:numRef>
          </c:xVal>
          <c:yVal>
            <c:numRef>
              <c:f>cumbung!$P$2:$P$13</c:f>
              <c:numCache>
                <c:formatCode>General</c:formatCode>
                <c:ptCount val="12"/>
                <c:pt idx="0">
                  <c:v>2118</c:v>
                </c:pt>
                <c:pt idx="1">
                  <c:v>39194</c:v>
                </c:pt>
                <c:pt idx="2">
                  <c:v>30254</c:v>
                </c:pt>
                <c:pt idx="3">
                  <c:v>7586</c:v>
                </c:pt>
                <c:pt idx="4">
                  <c:v>670</c:v>
                </c:pt>
                <c:pt idx="5">
                  <c:v>10779</c:v>
                </c:pt>
                <c:pt idx="6">
                  <c:v>4917</c:v>
                </c:pt>
                <c:pt idx="7">
                  <c:v>6344</c:v>
                </c:pt>
                <c:pt idx="8">
                  <c:v>2197</c:v>
                </c:pt>
                <c:pt idx="9">
                  <c:v>1272</c:v>
                </c:pt>
                <c:pt idx="10">
                  <c:v>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AE-4FA5-9E2A-8292289A3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573904"/>
        <c:axId val="1437570576"/>
      </c:scatterChart>
      <c:valAx>
        <c:axId val="143757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570576"/>
        <c:crosses val="autoZero"/>
        <c:crossBetween val="midCat"/>
      </c:valAx>
      <c:valAx>
        <c:axId val="143757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573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breed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cumbung!$Q$1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cumbung!$M$2:$M$13</c:f>
              <c:numCache>
                <c:formatCode>General</c:formatCode>
                <c:ptCount val="12"/>
                <c:pt idx="0">
                  <c:v>20785.695</c:v>
                </c:pt>
                <c:pt idx="1">
                  <c:v>7331.2479999999996</c:v>
                </c:pt>
                <c:pt idx="2">
                  <c:v>145175.03200000001</c:v>
                </c:pt>
                <c:pt idx="3">
                  <c:v>23708.996999999999</c:v>
                </c:pt>
                <c:pt idx="4">
                  <c:v>6133.5550000000003</c:v>
                </c:pt>
                <c:pt idx="5">
                  <c:v>35969.584000000003</c:v>
                </c:pt>
                <c:pt idx="6">
                  <c:v>86874.664000000004</c:v>
                </c:pt>
                <c:pt idx="7">
                  <c:v>3960.4029999999998</c:v>
                </c:pt>
                <c:pt idx="8">
                  <c:v>6012.4430000000002</c:v>
                </c:pt>
                <c:pt idx="9">
                  <c:v>1506.56</c:v>
                </c:pt>
                <c:pt idx="10">
                  <c:v>32050.717000000001</c:v>
                </c:pt>
              </c:numCache>
            </c:numRef>
          </c:xVal>
          <c:yVal>
            <c:numRef>
              <c:f>cumbung!$Q$2:$Q$13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D8-4B5F-A894-3779FF665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573904"/>
        <c:axId val="1437570576"/>
      </c:scatterChart>
      <c:valAx>
        <c:axId val="143757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570576"/>
        <c:crosses val="autoZero"/>
        <c:crossBetween val="midCat"/>
      </c:valAx>
      <c:valAx>
        <c:axId val="143757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573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Corrong 6</a:t>
            </a:r>
            <a:r>
              <a:rPr lang="en-US" baseline="0"/>
              <a:t> mos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cumbung!$P$1</c:f>
              <c:strCache>
                <c:ptCount val="1"/>
                <c:pt idx="0">
                  <c:v>Great Cumbung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cumbung!$N$2:$N$13</c:f>
              <c:numCache>
                <c:formatCode>General</c:formatCode>
                <c:ptCount val="12"/>
                <c:pt idx="0">
                  <c:v>24091.074000000001</c:v>
                </c:pt>
                <c:pt idx="1">
                  <c:v>18983.491000000002</c:v>
                </c:pt>
                <c:pt idx="2">
                  <c:v>277864.86099999998</c:v>
                </c:pt>
                <c:pt idx="3">
                  <c:v>43179.105000000003</c:v>
                </c:pt>
                <c:pt idx="4">
                  <c:v>9172.4210000000003</c:v>
                </c:pt>
                <c:pt idx="5">
                  <c:v>39548.894999999997</c:v>
                </c:pt>
                <c:pt idx="6">
                  <c:v>90704.888000000006</c:v>
                </c:pt>
                <c:pt idx="7">
                  <c:v>9114.3420000000006</c:v>
                </c:pt>
                <c:pt idx="8">
                  <c:v>12168.253000000001</c:v>
                </c:pt>
                <c:pt idx="9">
                  <c:v>13275.681</c:v>
                </c:pt>
                <c:pt idx="10">
                  <c:v>36387.906999999999</c:v>
                </c:pt>
              </c:numCache>
            </c:numRef>
          </c:xVal>
          <c:yVal>
            <c:numRef>
              <c:f>cumbung!$P$2:$P$13</c:f>
              <c:numCache>
                <c:formatCode>General</c:formatCode>
                <c:ptCount val="12"/>
                <c:pt idx="0">
                  <c:v>2118</c:v>
                </c:pt>
                <c:pt idx="1">
                  <c:v>39194</c:v>
                </c:pt>
                <c:pt idx="2">
                  <c:v>30254</c:v>
                </c:pt>
                <c:pt idx="3">
                  <c:v>7586</c:v>
                </c:pt>
                <c:pt idx="4">
                  <c:v>670</c:v>
                </c:pt>
                <c:pt idx="5">
                  <c:v>10779</c:v>
                </c:pt>
                <c:pt idx="6">
                  <c:v>4917</c:v>
                </c:pt>
                <c:pt idx="7">
                  <c:v>6344</c:v>
                </c:pt>
                <c:pt idx="8">
                  <c:v>2197</c:v>
                </c:pt>
                <c:pt idx="9">
                  <c:v>1272</c:v>
                </c:pt>
                <c:pt idx="10">
                  <c:v>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8E-43B6-A647-E87270C40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926800"/>
        <c:axId val="1925924720"/>
      </c:scatterChart>
      <c:valAx>
        <c:axId val="192592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924720"/>
        <c:crosses val="autoZero"/>
        <c:crossBetween val="midCat"/>
      </c:valAx>
      <c:valAx>
        <c:axId val="192592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92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Corrong 6</a:t>
            </a:r>
            <a:r>
              <a:rPr lang="en-US" baseline="0"/>
              <a:t> mos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cumbung!$Q$1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cumbung!$N$2:$N$13</c:f>
              <c:numCache>
                <c:formatCode>General</c:formatCode>
                <c:ptCount val="12"/>
                <c:pt idx="0">
                  <c:v>24091.074000000001</c:v>
                </c:pt>
                <c:pt idx="1">
                  <c:v>18983.491000000002</c:v>
                </c:pt>
                <c:pt idx="2">
                  <c:v>277864.86099999998</c:v>
                </c:pt>
                <c:pt idx="3">
                  <c:v>43179.105000000003</c:v>
                </c:pt>
                <c:pt idx="4">
                  <c:v>9172.4210000000003</c:v>
                </c:pt>
                <c:pt idx="5">
                  <c:v>39548.894999999997</c:v>
                </c:pt>
                <c:pt idx="6">
                  <c:v>90704.888000000006</c:v>
                </c:pt>
                <c:pt idx="7">
                  <c:v>9114.3420000000006</c:v>
                </c:pt>
                <c:pt idx="8">
                  <c:v>12168.253000000001</c:v>
                </c:pt>
                <c:pt idx="9">
                  <c:v>13275.681</c:v>
                </c:pt>
                <c:pt idx="10">
                  <c:v>36387.906999999999</c:v>
                </c:pt>
              </c:numCache>
            </c:numRef>
          </c:xVal>
          <c:yVal>
            <c:numRef>
              <c:f>cumbung!$Q$2:$Q$13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CB-494D-9567-52639B299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926800"/>
        <c:axId val="1925924720"/>
      </c:scatterChart>
      <c:valAx>
        <c:axId val="192592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924720"/>
        <c:crosses val="autoZero"/>
        <c:crossBetween val="midCat"/>
      </c:valAx>
      <c:valAx>
        <c:axId val="192592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92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Corrong 12 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cumbung!$P$1</c:f>
              <c:strCache>
                <c:ptCount val="1"/>
                <c:pt idx="0">
                  <c:v>Great Cumbung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cumbung!$O$2:$O$13</c:f>
              <c:numCache>
                <c:formatCode>General</c:formatCode>
                <c:ptCount val="12"/>
                <c:pt idx="0">
                  <c:v>36585.478000000003</c:v>
                </c:pt>
                <c:pt idx="1">
                  <c:v>96755.077000000005</c:v>
                </c:pt>
                <c:pt idx="2">
                  <c:v>342078.83100000001</c:v>
                </c:pt>
                <c:pt idx="3">
                  <c:v>79328.913</c:v>
                </c:pt>
                <c:pt idx="4">
                  <c:v>23316.370999999999</c:v>
                </c:pt>
                <c:pt idx="5">
                  <c:v>53343.64</c:v>
                </c:pt>
                <c:pt idx="6">
                  <c:v>116887.451</c:v>
                </c:pt>
                <c:pt idx="7">
                  <c:v>186400.14</c:v>
                </c:pt>
                <c:pt idx="8">
                  <c:v>47777.042000000001</c:v>
                </c:pt>
                <c:pt idx="9">
                  <c:v>32452.895</c:v>
                </c:pt>
                <c:pt idx="10">
                  <c:v>49074.892999999996</c:v>
                </c:pt>
              </c:numCache>
            </c:numRef>
          </c:xVal>
          <c:yVal>
            <c:numRef>
              <c:f>cumbung!$P$2:$P$13</c:f>
              <c:numCache>
                <c:formatCode>General</c:formatCode>
                <c:ptCount val="12"/>
                <c:pt idx="0">
                  <c:v>2118</c:v>
                </c:pt>
                <c:pt idx="1">
                  <c:v>39194</c:v>
                </c:pt>
                <c:pt idx="2">
                  <c:v>30254</c:v>
                </c:pt>
                <c:pt idx="3">
                  <c:v>7586</c:v>
                </c:pt>
                <c:pt idx="4">
                  <c:v>670</c:v>
                </c:pt>
                <c:pt idx="5">
                  <c:v>10779</c:v>
                </c:pt>
                <c:pt idx="6">
                  <c:v>4917</c:v>
                </c:pt>
                <c:pt idx="7">
                  <c:v>6344</c:v>
                </c:pt>
                <c:pt idx="8">
                  <c:v>2197</c:v>
                </c:pt>
                <c:pt idx="9">
                  <c:v>1272</c:v>
                </c:pt>
                <c:pt idx="10">
                  <c:v>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E1-48B1-9A0C-647009B56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924816"/>
        <c:axId val="1808910672"/>
      </c:scatterChart>
      <c:valAx>
        <c:axId val="180892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10672"/>
        <c:crosses val="autoZero"/>
        <c:crossBetween val="midCat"/>
      </c:valAx>
      <c:valAx>
        <c:axId val="180891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2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Corrong 12 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cumbung!$Q$1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cumbung!$O$2:$O$13</c:f>
              <c:numCache>
                <c:formatCode>General</c:formatCode>
                <c:ptCount val="12"/>
                <c:pt idx="0">
                  <c:v>36585.478000000003</c:v>
                </c:pt>
                <c:pt idx="1">
                  <c:v>96755.077000000005</c:v>
                </c:pt>
                <c:pt idx="2">
                  <c:v>342078.83100000001</c:v>
                </c:pt>
                <c:pt idx="3">
                  <c:v>79328.913</c:v>
                </c:pt>
                <c:pt idx="4">
                  <c:v>23316.370999999999</c:v>
                </c:pt>
                <c:pt idx="5">
                  <c:v>53343.64</c:v>
                </c:pt>
                <c:pt idx="6">
                  <c:v>116887.451</c:v>
                </c:pt>
                <c:pt idx="7">
                  <c:v>186400.14</c:v>
                </c:pt>
                <c:pt idx="8">
                  <c:v>47777.042000000001</c:v>
                </c:pt>
                <c:pt idx="9">
                  <c:v>32452.895</c:v>
                </c:pt>
                <c:pt idx="10">
                  <c:v>49074.892999999996</c:v>
                </c:pt>
              </c:numCache>
            </c:numRef>
          </c:xVal>
          <c:yVal>
            <c:numRef>
              <c:f>cumbung!$Q$2:$Q$13</c:f>
              <c:numCache>
                <c:formatCode>General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84-4F78-BE85-CA8E4CFB3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924816"/>
        <c:axId val="1808910672"/>
      </c:scatterChart>
      <c:valAx>
        <c:axId val="180892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10672"/>
        <c:crosses val="autoZero"/>
        <c:crossBetween val="midCat"/>
      </c:valAx>
      <c:valAx>
        <c:axId val="180891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2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Gwydir 3mos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gwydir!$L$1</c:f>
              <c:strCache>
                <c:ptCount val="1"/>
                <c:pt idx="0">
                  <c:v>Gwydir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gwydir!$H$2:$H$21</c:f>
              <c:numCache>
                <c:formatCode>General</c:formatCode>
                <c:ptCount val="20"/>
                <c:pt idx="0">
                  <c:v>88511.046000000002</c:v>
                </c:pt>
                <c:pt idx="1">
                  <c:v>17458.982</c:v>
                </c:pt>
                <c:pt idx="2">
                  <c:v>41526.900999999998</c:v>
                </c:pt>
                <c:pt idx="3">
                  <c:v>15847.724</c:v>
                </c:pt>
                <c:pt idx="4">
                  <c:v>16826.871999999999</c:v>
                </c:pt>
                <c:pt idx="5">
                  <c:v>34449.129000000001</c:v>
                </c:pt>
                <c:pt idx="6">
                  <c:v>171721.17</c:v>
                </c:pt>
                <c:pt idx="7">
                  <c:v>20682.080000000002</c:v>
                </c:pt>
                <c:pt idx="8">
                  <c:v>46682.39</c:v>
                </c:pt>
                <c:pt idx="9">
                  <c:v>324.822</c:v>
                </c:pt>
                <c:pt idx="10">
                  <c:v>7455.56</c:v>
                </c:pt>
              </c:numCache>
            </c:numRef>
          </c:xVal>
          <c:yVal>
            <c:numRef>
              <c:f>gwydir!$L$2:$L$21</c:f>
              <c:numCache>
                <c:formatCode>General</c:formatCode>
                <c:ptCount val="20"/>
                <c:pt idx="0">
                  <c:v>6887</c:v>
                </c:pt>
                <c:pt idx="1">
                  <c:v>13021</c:v>
                </c:pt>
                <c:pt idx="2">
                  <c:v>4903</c:v>
                </c:pt>
                <c:pt idx="4">
                  <c:v>2057</c:v>
                </c:pt>
                <c:pt idx="5">
                  <c:v>1027</c:v>
                </c:pt>
                <c:pt idx="6">
                  <c:v>2454</c:v>
                </c:pt>
                <c:pt idx="7">
                  <c:v>2005</c:v>
                </c:pt>
                <c:pt idx="8">
                  <c:v>12472</c:v>
                </c:pt>
                <c:pt idx="9">
                  <c:v>1012</c:v>
                </c:pt>
                <c:pt idx="10">
                  <c:v>10602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6A-4860-A639-BDD18CA12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101184"/>
        <c:axId val="1805124480"/>
      </c:scatterChart>
      <c:valAx>
        <c:axId val="180510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124480"/>
        <c:crosses val="autoZero"/>
        <c:crossBetween val="midCat"/>
      </c:valAx>
      <c:valAx>
        <c:axId val="180512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101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gwydir!$M$1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gwydir!$H$2:$H$21</c:f>
              <c:numCache>
                <c:formatCode>General</c:formatCode>
                <c:ptCount val="20"/>
                <c:pt idx="0">
                  <c:v>88511.046000000002</c:v>
                </c:pt>
                <c:pt idx="1">
                  <c:v>17458.982</c:v>
                </c:pt>
                <c:pt idx="2">
                  <c:v>41526.900999999998</c:v>
                </c:pt>
                <c:pt idx="3">
                  <c:v>15847.724</c:v>
                </c:pt>
                <c:pt idx="4">
                  <c:v>16826.871999999999</c:v>
                </c:pt>
                <c:pt idx="5">
                  <c:v>34449.129000000001</c:v>
                </c:pt>
                <c:pt idx="6">
                  <c:v>171721.17</c:v>
                </c:pt>
                <c:pt idx="7">
                  <c:v>20682.080000000002</c:v>
                </c:pt>
                <c:pt idx="8">
                  <c:v>46682.39</c:v>
                </c:pt>
                <c:pt idx="9">
                  <c:v>324.822</c:v>
                </c:pt>
                <c:pt idx="10">
                  <c:v>7455.56</c:v>
                </c:pt>
              </c:numCache>
            </c:numRef>
          </c:xVal>
          <c:yVal>
            <c:numRef>
              <c:f>gwydir!$M$2:$M$21</c:f>
              <c:numCache>
                <c:formatCode>General</c:formatCode>
                <c:ptCount val="20"/>
                <c:pt idx="0">
                  <c:v>13</c:v>
                </c:pt>
                <c:pt idx="1">
                  <c:v>6</c:v>
                </c:pt>
                <c:pt idx="2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343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20-465E-A34E-2FC37B13A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5101184"/>
        <c:axId val="1805124480"/>
      </c:scatterChart>
      <c:valAx>
        <c:axId val="180510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124480"/>
        <c:crosses val="autoZero"/>
        <c:crossBetween val="midCat"/>
      </c:valAx>
      <c:valAx>
        <c:axId val="180512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101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Gwydir 6 mos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gwydir!$L$1</c:f>
              <c:strCache>
                <c:ptCount val="1"/>
                <c:pt idx="0">
                  <c:v>Gwydir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gwydir!$I$2:$I$21</c:f>
              <c:numCache>
                <c:formatCode>General</c:formatCode>
                <c:ptCount val="20"/>
                <c:pt idx="0">
                  <c:v>89537.001999999993</c:v>
                </c:pt>
                <c:pt idx="1">
                  <c:v>27571.917000000001</c:v>
                </c:pt>
                <c:pt idx="2">
                  <c:v>106822.247</c:v>
                </c:pt>
                <c:pt idx="3">
                  <c:v>29052.99</c:v>
                </c:pt>
                <c:pt idx="4">
                  <c:v>19936.914000000001</c:v>
                </c:pt>
                <c:pt idx="5">
                  <c:v>47453.404000000002</c:v>
                </c:pt>
                <c:pt idx="6">
                  <c:v>192799.38099999999</c:v>
                </c:pt>
                <c:pt idx="7">
                  <c:v>33076.773000000001</c:v>
                </c:pt>
                <c:pt idx="8">
                  <c:v>48694.377</c:v>
                </c:pt>
                <c:pt idx="9">
                  <c:v>3746.4560000000001</c:v>
                </c:pt>
                <c:pt idx="10">
                  <c:v>15352.933000000001</c:v>
                </c:pt>
              </c:numCache>
            </c:numRef>
          </c:xVal>
          <c:yVal>
            <c:numRef>
              <c:f>gwydir!$L$2:$L$21</c:f>
              <c:numCache>
                <c:formatCode>General</c:formatCode>
                <c:ptCount val="20"/>
                <c:pt idx="0">
                  <c:v>6887</c:v>
                </c:pt>
                <c:pt idx="1">
                  <c:v>13021</c:v>
                </c:pt>
                <c:pt idx="2">
                  <c:v>4903</c:v>
                </c:pt>
                <c:pt idx="4">
                  <c:v>2057</c:v>
                </c:pt>
                <c:pt idx="5">
                  <c:v>1027</c:v>
                </c:pt>
                <c:pt idx="6">
                  <c:v>2454</c:v>
                </c:pt>
                <c:pt idx="7">
                  <c:v>2005</c:v>
                </c:pt>
                <c:pt idx="8">
                  <c:v>12472</c:v>
                </c:pt>
                <c:pt idx="9">
                  <c:v>1012</c:v>
                </c:pt>
                <c:pt idx="10">
                  <c:v>10602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69-4B6A-8AA7-8B80E9842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643488"/>
        <c:axId val="1692645984"/>
      </c:scatterChart>
      <c:valAx>
        <c:axId val="169264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645984"/>
        <c:crosses val="autoZero"/>
        <c:crossBetween val="midCat"/>
      </c:valAx>
      <c:valAx>
        <c:axId val="169264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64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Gwydir 6 mos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gwydir!$M$1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gwydir!$I$2:$I$21</c:f>
              <c:numCache>
                <c:formatCode>General</c:formatCode>
                <c:ptCount val="20"/>
                <c:pt idx="0">
                  <c:v>89537.001999999993</c:v>
                </c:pt>
                <c:pt idx="1">
                  <c:v>27571.917000000001</c:v>
                </c:pt>
                <c:pt idx="2">
                  <c:v>106822.247</c:v>
                </c:pt>
                <c:pt idx="3">
                  <c:v>29052.99</c:v>
                </c:pt>
                <c:pt idx="4">
                  <c:v>19936.914000000001</c:v>
                </c:pt>
                <c:pt idx="5">
                  <c:v>47453.404000000002</c:v>
                </c:pt>
                <c:pt idx="6">
                  <c:v>192799.38099999999</c:v>
                </c:pt>
                <c:pt idx="7">
                  <c:v>33076.773000000001</c:v>
                </c:pt>
                <c:pt idx="8">
                  <c:v>48694.377</c:v>
                </c:pt>
                <c:pt idx="9">
                  <c:v>3746.4560000000001</c:v>
                </c:pt>
                <c:pt idx="10">
                  <c:v>15352.933000000001</c:v>
                </c:pt>
              </c:numCache>
            </c:numRef>
          </c:xVal>
          <c:yVal>
            <c:numRef>
              <c:f>gwydir!$M$2:$M$21</c:f>
              <c:numCache>
                <c:formatCode>General</c:formatCode>
                <c:ptCount val="20"/>
                <c:pt idx="0">
                  <c:v>13</c:v>
                </c:pt>
                <c:pt idx="1">
                  <c:v>6</c:v>
                </c:pt>
                <c:pt idx="2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343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87-443C-8FAD-6C1DB997A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643488"/>
        <c:axId val="1692645984"/>
      </c:scatterChart>
      <c:valAx>
        <c:axId val="169264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645984"/>
        <c:crosses val="autoZero"/>
        <c:crossBetween val="midCat"/>
      </c:valAx>
      <c:valAx>
        <c:axId val="169264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64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gwydir!$L$1</c:f>
              <c:strCache>
                <c:ptCount val="1"/>
                <c:pt idx="0">
                  <c:v>Gwydir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gwydir!$J$2:$J$21</c:f>
              <c:numCache>
                <c:formatCode>General</c:formatCode>
                <c:ptCount val="20"/>
                <c:pt idx="0">
                  <c:v>114175.428</c:v>
                </c:pt>
                <c:pt idx="1">
                  <c:v>163662.20000000001</c:v>
                </c:pt>
                <c:pt idx="2">
                  <c:v>1132490.0889999999</c:v>
                </c:pt>
                <c:pt idx="3">
                  <c:v>230906.33</c:v>
                </c:pt>
                <c:pt idx="4">
                  <c:v>99067.357000000004</c:v>
                </c:pt>
                <c:pt idx="5">
                  <c:v>134839.33199999999</c:v>
                </c:pt>
                <c:pt idx="6">
                  <c:v>224733.171</c:v>
                </c:pt>
                <c:pt idx="7">
                  <c:v>117081.378</c:v>
                </c:pt>
                <c:pt idx="8">
                  <c:v>110982.526</c:v>
                </c:pt>
                <c:pt idx="9">
                  <c:v>39548.727999999996</c:v>
                </c:pt>
                <c:pt idx="10">
                  <c:v>56074.989000000001</c:v>
                </c:pt>
              </c:numCache>
            </c:numRef>
          </c:xVal>
          <c:yVal>
            <c:numRef>
              <c:f>gwydir!$L$2:$L$21</c:f>
              <c:numCache>
                <c:formatCode>General</c:formatCode>
                <c:ptCount val="20"/>
                <c:pt idx="0">
                  <c:v>6887</c:v>
                </c:pt>
                <c:pt idx="1">
                  <c:v>13021</c:v>
                </c:pt>
                <c:pt idx="2">
                  <c:v>4903</c:v>
                </c:pt>
                <c:pt idx="4">
                  <c:v>2057</c:v>
                </c:pt>
                <c:pt idx="5">
                  <c:v>1027</c:v>
                </c:pt>
                <c:pt idx="6">
                  <c:v>2454</c:v>
                </c:pt>
                <c:pt idx="7">
                  <c:v>2005</c:v>
                </c:pt>
                <c:pt idx="8">
                  <c:v>12472</c:v>
                </c:pt>
                <c:pt idx="9">
                  <c:v>1012</c:v>
                </c:pt>
                <c:pt idx="10">
                  <c:v>10602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3-40AB-AA11-86E25E591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7683952"/>
        <c:axId val="1417691440"/>
      </c:scatterChart>
      <c:valAx>
        <c:axId val="141768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691440"/>
        <c:crosses val="autoZero"/>
        <c:crossBetween val="midCat"/>
      </c:valAx>
      <c:valAx>
        <c:axId val="141769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68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gwydir!$M$1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gwydir!$J$2:$J$21</c:f>
              <c:numCache>
                <c:formatCode>General</c:formatCode>
                <c:ptCount val="20"/>
                <c:pt idx="0">
                  <c:v>114175.428</c:v>
                </c:pt>
                <c:pt idx="1">
                  <c:v>163662.20000000001</c:v>
                </c:pt>
                <c:pt idx="2">
                  <c:v>1132490.0889999999</c:v>
                </c:pt>
                <c:pt idx="3">
                  <c:v>230906.33</c:v>
                </c:pt>
                <c:pt idx="4">
                  <c:v>99067.357000000004</c:v>
                </c:pt>
                <c:pt idx="5">
                  <c:v>134839.33199999999</c:v>
                </c:pt>
                <c:pt idx="6">
                  <c:v>224733.171</c:v>
                </c:pt>
                <c:pt idx="7">
                  <c:v>117081.378</c:v>
                </c:pt>
                <c:pt idx="8">
                  <c:v>110982.526</c:v>
                </c:pt>
                <c:pt idx="9">
                  <c:v>39548.727999999996</c:v>
                </c:pt>
                <c:pt idx="10">
                  <c:v>56074.989000000001</c:v>
                </c:pt>
              </c:numCache>
            </c:numRef>
          </c:xVal>
          <c:yVal>
            <c:numRef>
              <c:f>gwydir!$M$2:$M$21</c:f>
              <c:numCache>
                <c:formatCode>General</c:formatCode>
                <c:ptCount val="20"/>
                <c:pt idx="0">
                  <c:v>13</c:v>
                </c:pt>
                <c:pt idx="1">
                  <c:v>6</c:v>
                </c:pt>
                <c:pt idx="2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343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1B-422D-AE11-3BD2692E7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7683952"/>
        <c:axId val="1417691440"/>
      </c:scatterChart>
      <c:valAx>
        <c:axId val="141768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691440"/>
        <c:crosses val="autoZero"/>
        <c:crossBetween val="midCat"/>
      </c:valAx>
      <c:valAx>
        <c:axId val="141769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68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Hattah Lakes 3 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hattah!$K$1</c:f>
              <c:strCache>
                <c:ptCount val="1"/>
                <c:pt idx="0">
                  <c:v>Hattah Lakes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hattah!$H$2:$H$16</c:f>
              <c:numCache>
                <c:formatCode>General</c:formatCode>
                <c:ptCount val="15"/>
                <c:pt idx="0">
                  <c:v>461381.33</c:v>
                </c:pt>
                <c:pt idx="1">
                  <c:v>235432.77</c:v>
                </c:pt>
                <c:pt idx="2">
                  <c:v>323092.17</c:v>
                </c:pt>
                <c:pt idx="3">
                  <c:v>1751962.24</c:v>
                </c:pt>
                <c:pt idx="4">
                  <c:v>2849126.47</c:v>
                </c:pt>
                <c:pt idx="5">
                  <c:v>3645271.66</c:v>
                </c:pt>
                <c:pt idx="6">
                  <c:v>1532727.27</c:v>
                </c:pt>
                <c:pt idx="7">
                  <c:v>1143999.6299999999</c:v>
                </c:pt>
                <c:pt idx="8">
                  <c:v>1031825.15</c:v>
                </c:pt>
                <c:pt idx="9">
                  <c:v>2986009.27</c:v>
                </c:pt>
                <c:pt idx="10">
                  <c:v>1042862.48</c:v>
                </c:pt>
                <c:pt idx="11">
                  <c:v>736391.98</c:v>
                </c:pt>
                <c:pt idx="12">
                  <c:v>1105900.82</c:v>
                </c:pt>
                <c:pt idx="13">
                  <c:v>978280.73</c:v>
                </c:pt>
              </c:numCache>
            </c:numRef>
          </c:xVal>
          <c:yVal>
            <c:numRef>
              <c:f>hattah!$K$2:$K$16</c:f>
              <c:numCache>
                <c:formatCode>General</c:formatCode>
                <c:ptCount val="15"/>
                <c:pt idx="0">
                  <c:v>16121</c:v>
                </c:pt>
                <c:pt idx="1">
                  <c:v>2618</c:v>
                </c:pt>
                <c:pt idx="2">
                  <c:v>535</c:v>
                </c:pt>
                <c:pt idx="3">
                  <c:v>296</c:v>
                </c:pt>
                <c:pt idx="4">
                  <c:v>1349</c:v>
                </c:pt>
                <c:pt idx="5">
                  <c:v>923</c:v>
                </c:pt>
                <c:pt idx="6">
                  <c:v>138</c:v>
                </c:pt>
                <c:pt idx="7">
                  <c:v>2308</c:v>
                </c:pt>
                <c:pt idx="8">
                  <c:v>2802</c:v>
                </c:pt>
                <c:pt idx="9">
                  <c:v>130</c:v>
                </c:pt>
                <c:pt idx="10">
                  <c:v>2545</c:v>
                </c:pt>
                <c:pt idx="11">
                  <c:v>1908</c:v>
                </c:pt>
                <c:pt idx="12">
                  <c:v>1132</c:v>
                </c:pt>
                <c:pt idx="13">
                  <c:v>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CE-44C4-80D8-4FE0706F0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035344"/>
        <c:axId val="1632034928"/>
      </c:scatterChart>
      <c:valAx>
        <c:axId val="163203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034928"/>
        <c:crosses val="autoZero"/>
        <c:crossBetween val="midCat"/>
      </c:valAx>
      <c:valAx>
        <c:axId val="163203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03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Hattah Lakes 3 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hattah!$L$1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hattah!$H$2:$H$16</c:f>
              <c:numCache>
                <c:formatCode>General</c:formatCode>
                <c:ptCount val="15"/>
                <c:pt idx="0">
                  <c:v>461381.33</c:v>
                </c:pt>
                <c:pt idx="1">
                  <c:v>235432.77</c:v>
                </c:pt>
                <c:pt idx="2">
                  <c:v>323092.17</c:v>
                </c:pt>
                <c:pt idx="3">
                  <c:v>1751962.24</c:v>
                </c:pt>
                <c:pt idx="4">
                  <c:v>2849126.47</c:v>
                </c:pt>
                <c:pt idx="5">
                  <c:v>3645271.66</c:v>
                </c:pt>
                <c:pt idx="6">
                  <c:v>1532727.27</c:v>
                </c:pt>
                <c:pt idx="7">
                  <c:v>1143999.6299999999</c:v>
                </c:pt>
                <c:pt idx="8">
                  <c:v>1031825.15</c:v>
                </c:pt>
                <c:pt idx="9">
                  <c:v>2986009.27</c:v>
                </c:pt>
                <c:pt idx="10">
                  <c:v>1042862.48</c:v>
                </c:pt>
                <c:pt idx="11">
                  <c:v>736391.98</c:v>
                </c:pt>
                <c:pt idx="12">
                  <c:v>1105900.82</c:v>
                </c:pt>
                <c:pt idx="13">
                  <c:v>978280.73</c:v>
                </c:pt>
              </c:numCache>
            </c:numRef>
          </c:xVal>
          <c:yVal>
            <c:numRef>
              <c:f>hattah!$L$2:$L$16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15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53</c:v>
                </c:pt>
                <c:pt idx="8">
                  <c:v>0</c:v>
                </c:pt>
                <c:pt idx="9">
                  <c:v>0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5B-41ED-A032-225FF8AB1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035344"/>
        <c:axId val="1632034928"/>
      </c:scatterChart>
      <c:valAx>
        <c:axId val="163203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034928"/>
        <c:crosses val="autoZero"/>
        <c:crossBetween val="midCat"/>
      </c:valAx>
      <c:valAx>
        <c:axId val="163203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03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hattah!$K$1</c:f>
              <c:strCache>
                <c:ptCount val="1"/>
                <c:pt idx="0">
                  <c:v>Hattah Lakes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hattah!$I$2:$I$16</c:f>
              <c:numCache>
                <c:formatCode>General</c:formatCode>
                <c:ptCount val="15"/>
                <c:pt idx="0">
                  <c:v>747768.74</c:v>
                </c:pt>
                <c:pt idx="1">
                  <c:v>477221.39</c:v>
                </c:pt>
                <c:pt idx="2">
                  <c:v>660415.12</c:v>
                </c:pt>
                <c:pt idx="3">
                  <c:v>2066531.3399999999</c:v>
                </c:pt>
                <c:pt idx="4">
                  <c:v>4743283.6500000004</c:v>
                </c:pt>
                <c:pt idx="5">
                  <c:v>5802390.9800000004</c:v>
                </c:pt>
                <c:pt idx="6">
                  <c:v>2068559.28</c:v>
                </c:pt>
                <c:pt idx="7">
                  <c:v>1673403.8399999999</c:v>
                </c:pt>
                <c:pt idx="8">
                  <c:v>1873554.19</c:v>
                </c:pt>
                <c:pt idx="9">
                  <c:v>3786452.41</c:v>
                </c:pt>
                <c:pt idx="10">
                  <c:v>1707890.81</c:v>
                </c:pt>
                <c:pt idx="11">
                  <c:v>1434514.12</c:v>
                </c:pt>
                <c:pt idx="12">
                  <c:v>1753748.01</c:v>
                </c:pt>
                <c:pt idx="13">
                  <c:v>1930539.3199999998</c:v>
                </c:pt>
              </c:numCache>
            </c:numRef>
          </c:xVal>
          <c:yVal>
            <c:numRef>
              <c:f>hattah!$K$2:$K$16</c:f>
              <c:numCache>
                <c:formatCode>General</c:formatCode>
                <c:ptCount val="15"/>
                <c:pt idx="0">
                  <c:v>16121</c:v>
                </c:pt>
                <c:pt idx="1">
                  <c:v>2618</c:v>
                </c:pt>
                <c:pt idx="2">
                  <c:v>535</c:v>
                </c:pt>
                <c:pt idx="3">
                  <c:v>296</c:v>
                </c:pt>
                <c:pt idx="4">
                  <c:v>1349</c:v>
                </c:pt>
                <c:pt idx="5">
                  <c:v>923</c:v>
                </c:pt>
                <c:pt idx="6">
                  <c:v>138</c:v>
                </c:pt>
                <c:pt idx="7">
                  <c:v>2308</c:v>
                </c:pt>
                <c:pt idx="8">
                  <c:v>2802</c:v>
                </c:pt>
                <c:pt idx="9">
                  <c:v>130</c:v>
                </c:pt>
                <c:pt idx="10">
                  <c:v>2545</c:v>
                </c:pt>
                <c:pt idx="11">
                  <c:v>1908</c:v>
                </c:pt>
                <c:pt idx="12">
                  <c:v>1132</c:v>
                </c:pt>
                <c:pt idx="13">
                  <c:v>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84-4C19-B1B0-D92858789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910992"/>
        <c:axId val="1925916400"/>
      </c:scatterChart>
      <c:valAx>
        <c:axId val="192591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916400"/>
        <c:crosses val="autoZero"/>
        <c:crossBetween val="midCat"/>
      </c:valAx>
      <c:valAx>
        <c:axId val="192591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91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hattah!$L$1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hattah!$I$2:$I$16</c:f>
              <c:numCache>
                <c:formatCode>General</c:formatCode>
                <c:ptCount val="15"/>
                <c:pt idx="0">
                  <c:v>747768.74</c:v>
                </c:pt>
                <c:pt idx="1">
                  <c:v>477221.39</c:v>
                </c:pt>
                <c:pt idx="2">
                  <c:v>660415.12</c:v>
                </c:pt>
                <c:pt idx="3">
                  <c:v>2066531.3399999999</c:v>
                </c:pt>
                <c:pt idx="4">
                  <c:v>4743283.6500000004</c:v>
                </c:pt>
                <c:pt idx="5">
                  <c:v>5802390.9800000004</c:v>
                </c:pt>
                <c:pt idx="6">
                  <c:v>2068559.28</c:v>
                </c:pt>
                <c:pt idx="7">
                  <c:v>1673403.8399999999</c:v>
                </c:pt>
                <c:pt idx="8">
                  <c:v>1873554.19</c:v>
                </c:pt>
                <c:pt idx="9">
                  <c:v>3786452.41</c:v>
                </c:pt>
                <c:pt idx="10">
                  <c:v>1707890.81</c:v>
                </c:pt>
                <c:pt idx="11">
                  <c:v>1434514.12</c:v>
                </c:pt>
                <c:pt idx="12">
                  <c:v>1753748.01</c:v>
                </c:pt>
                <c:pt idx="13">
                  <c:v>1930539.3199999998</c:v>
                </c:pt>
              </c:numCache>
            </c:numRef>
          </c:xVal>
          <c:yVal>
            <c:numRef>
              <c:f>hattah!$L$2:$L$16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15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53</c:v>
                </c:pt>
                <c:pt idx="8">
                  <c:v>0</c:v>
                </c:pt>
                <c:pt idx="9">
                  <c:v>0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C8-4C0D-9D9E-9CCA513AD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910992"/>
        <c:axId val="1925916400"/>
      </c:scatterChart>
      <c:valAx>
        <c:axId val="192591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916400"/>
        <c:crosses val="autoZero"/>
        <c:crossBetween val="midCat"/>
      </c:valAx>
      <c:valAx>
        <c:axId val="192591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91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hattah!$K$1</c:f>
              <c:strCache>
                <c:ptCount val="1"/>
                <c:pt idx="0">
                  <c:v>Hattah Lakes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hattah!$J$2:$J$16</c:f>
              <c:numCache>
                <c:formatCode>General</c:formatCode>
                <c:ptCount val="15"/>
                <c:pt idx="0">
                  <c:v>1774339.68</c:v>
                </c:pt>
                <c:pt idx="1">
                  <c:v>1207892.3900000001</c:v>
                </c:pt>
                <c:pt idx="2">
                  <c:v>1454504.2</c:v>
                </c:pt>
                <c:pt idx="3">
                  <c:v>3276773.44</c:v>
                </c:pt>
                <c:pt idx="4">
                  <c:v>13059548.99</c:v>
                </c:pt>
                <c:pt idx="5">
                  <c:v>8471654.7400000002</c:v>
                </c:pt>
                <c:pt idx="6">
                  <c:v>3552126.8200000003</c:v>
                </c:pt>
                <c:pt idx="7">
                  <c:v>3384307.94</c:v>
                </c:pt>
                <c:pt idx="8">
                  <c:v>3510001.98</c:v>
                </c:pt>
                <c:pt idx="9">
                  <c:v>5370080.7999999998</c:v>
                </c:pt>
                <c:pt idx="10">
                  <c:v>7287105.3699999992</c:v>
                </c:pt>
                <c:pt idx="11">
                  <c:v>3118688.26</c:v>
                </c:pt>
                <c:pt idx="12">
                  <c:v>3589424.08</c:v>
                </c:pt>
                <c:pt idx="13">
                  <c:v>3458145.6999999997</c:v>
                </c:pt>
              </c:numCache>
            </c:numRef>
          </c:xVal>
          <c:yVal>
            <c:numRef>
              <c:f>hattah!$K$2:$K$16</c:f>
              <c:numCache>
                <c:formatCode>General</c:formatCode>
                <c:ptCount val="15"/>
                <c:pt idx="0">
                  <c:v>16121</c:v>
                </c:pt>
                <c:pt idx="1">
                  <c:v>2618</c:v>
                </c:pt>
                <c:pt idx="2">
                  <c:v>535</c:v>
                </c:pt>
                <c:pt idx="3">
                  <c:v>296</c:v>
                </c:pt>
                <c:pt idx="4">
                  <c:v>1349</c:v>
                </c:pt>
                <c:pt idx="5">
                  <c:v>923</c:v>
                </c:pt>
                <c:pt idx="6">
                  <c:v>138</c:v>
                </c:pt>
                <c:pt idx="7">
                  <c:v>2308</c:v>
                </c:pt>
                <c:pt idx="8">
                  <c:v>2802</c:v>
                </c:pt>
                <c:pt idx="9">
                  <c:v>130</c:v>
                </c:pt>
                <c:pt idx="10">
                  <c:v>2545</c:v>
                </c:pt>
                <c:pt idx="11">
                  <c:v>1908</c:v>
                </c:pt>
                <c:pt idx="12">
                  <c:v>1132</c:v>
                </c:pt>
                <c:pt idx="13">
                  <c:v>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6D-4A43-B498-C6AE763F5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297248"/>
        <c:axId val="1924305152"/>
      </c:scatterChart>
      <c:valAx>
        <c:axId val="192429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305152"/>
        <c:crosses val="autoZero"/>
        <c:crossBetween val="midCat"/>
      </c:valAx>
      <c:valAx>
        <c:axId val="192430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hattah!$L$1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hattah!$J$2:$J$16</c:f>
              <c:numCache>
                <c:formatCode>General</c:formatCode>
                <c:ptCount val="15"/>
                <c:pt idx="0">
                  <c:v>1774339.68</c:v>
                </c:pt>
                <c:pt idx="1">
                  <c:v>1207892.3900000001</c:v>
                </c:pt>
                <c:pt idx="2">
                  <c:v>1454504.2</c:v>
                </c:pt>
                <c:pt idx="3">
                  <c:v>3276773.44</c:v>
                </c:pt>
                <c:pt idx="4">
                  <c:v>13059548.99</c:v>
                </c:pt>
                <c:pt idx="5">
                  <c:v>8471654.7400000002</c:v>
                </c:pt>
                <c:pt idx="6">
                  <c:v>3552126.8200000003</c:v>
                </c:pt>
                <c:pt idx="7">
                  <c:v>3384307.94</c:v>
                </c:pt>
                <c:pt idx="8">
                  <c:v>3510001.98</c:v>
                </c:pt>
                <c:pt idx="9">
                  <c:v>5370080.7999999998</c:v>
                </c:pt>
                <c:pt idx="10">
                  <c:v>7287105.3699999992</c:v>
                </c:pt>
                <c:pt idx="11">
                  <c:v>3118688.26</c:v>
                </c:pt>
                <c:pt idx="12">
                  <c:v>3589424.08</c:v>
                </c:pt>
                <c:pt idx="13">
                  <c:v>3458145.6999999997</c:v>
                </c:pt>
              </c:numCache>
            </c:numRef>
          </c:xVal>
          <c:yVal>
            <c:numRef>
              <c:f>hattah!$L$2:$L$16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15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53</c:v>
                </c:pt>
                <c:pt idx="8">
                  <c:v>0</c:v>
                </c:pt>
                <c:pt idx="9">
                  <c:v>0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A2-40D9-9DCE-BAEF8C5CA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297248"/>
        <c:axId val="1924305152"/>
      </c:scatterChart>
      <c:valAx>
        <c:axId val="192429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305152"/>
        <c:crosses val="autoZero"/>
        <c:crossBetween val="midCat"/>
      </c:valAx>
      <c:valAx>
        <c:axId val="192430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Lowbidgee 3mos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lowbidgee!$I$1</c:f>
              <c:strCache>
                <c:ptCount val="1"/>
                <c:pt idx="0">
                  <c:v>Lowbidgee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lowbidgee!$F$2:$F$13</c:f>
              <c:numCache>
                <c:formatCode>General</c:formatCode>
                <c:ptCount val="12"/>
                <c:pt idx="0">
                  <c:v>292390.08199999999</c:v>
                </c:pt>
                <c:pt idx="1">
                  <c:v>513848.717</c:v>
                </c:pt>
                <c:pt idx="3">
                  <c:v>170695.58</c:v>
                </c:pt>
                <c:pt idx="4">
                  <c:v>212654.337</c:v>
                </c:pt>
                <c:pt idx="5">
                  <c:v>280509.62400000001</c:v>
                </c:pt>
                <c:pt idx="6">
                  <c:v>1309764.9410000001</c:v>
                </c:pt>
                <c:pt idx="7">
                  <c:v>276217.16800000001</c:v>
                </c:pt>
                <c:pt idx="8">
                  <c:v>178347.212</c:v>
                </c:pt>
                <c:pt idx="9">
                  <c:v>130470.995</c:v>
                </c:pt>
                <c:pt idx="10">
                  <c:v>220629.62299999999</c:v>
                </c:pt>
              </c:numCache>
            </c:numRef>
          </c:xVal>
          <c:yVal>
            <c:numRef>
              <c:f>lowbidgee!$I$2:$I$13</c:f>
              <c:numCache>
                <c:formatCode>General</c:formatCode>
                <c:ptCount val="12"/>
                <c:pt idx="0">
                  <c:v>91742</c:v>
                </c:pt>
                <c:pt idx="1">
                  <c:v>66430</c:v>
                </c:pt>
                <c:pt idx="3">
                  <c:v>14451</c:v>
                </c:pt>
                <c:pt idx="4">
                  <c:v>5887</c:v>
                </c:pt>
                <c:pt idx="5">
                  <c:v>6974</c:v>
                </c:pt>
                <c:pt idx="6">
                  <c:v>25494</c:v>
                </c:pt>
                <c:pt idx="7">
                  <c:v>7866</c:v>
                </c:pt>
                <c:pt idx="8">
                  <c:v>3787</c:v>
                </c:pt>
                <c:pt idx="9">
                  <c:v>3467</c:v>
                </c:pt>
                <c:pt idx="10">
                  <c:v>63973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9C-442B-A7CB-EE147152B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628096"/>
        <c:axId val="1692621440"/>
      </c:scatterChart>
      <c:valAx>
        <c:axId val="169262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621440"/>
        <c:crosses val="autoZero"/>
        <c:crossBetween val="midCat"/>
      </c:valAx>
      <c:valAx>
        <c:axId val="169262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628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lowbidgee!$J$1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lowbidgee!$F$2:$F$13</c:f>
              <c:numCache>
                <c:formatCode>General</c:formatCode>
                <c:ptCount val="12"/>
                <c:pt idx="0">
                  <c:v>292390.08199999999</c:v>
                </c:pt>
                <c:pt idx="1">
                  <c:v>513848.717</c:v>
                </c:pt>
                <c:pt idx="3">
                  <c:v>170695.58</c:v>
                </c:pt>
                <c:pt idx="4">
                  <c:v>212654.337</c:v>
                </c:pt>
                <c:pt idx="5">
                  <c:v>280509.62400000001</c:v>
                </c:pt>
                <c:pt idx="6">
                  <c:v>1309764.9410000001</c:v>
                </c:pt>
                <c:pt idx="7">
                  <c:v>276217.16800000001</c:v>
                </c:pt>
                <c:pt idx="8">
                  <c:v>178347.212</c:v>
                </c:pt>
                <c:pt idx="9">
                  <c:v>130470.995</c:v>
                </c:pt>
                <c:pt idx="10">
                  <c:v>220629.62299999999</c:v>
                </c:pt>
              </c:numCache>
            </c:numRef>
          </c:xVal>
          <c:yVal>
            <c:numRef>
              <c:f>lowbidgee!$J$2:$J$13</c:f>
              <c:numCache>
                <c:formatCode>General</c:formatCode>
                <c:ptCount val="12"/>
                <c:pt idx="0">
                  <c:v>51411</c:v>
                </c:pt>
                <c:pt idx="1">
                  <c:v>3468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10898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21019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A3-44A7-8870-ECB59F0B9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628096"/>
        <c:axId val="1692621440"/>
      </c:scatterChart>
      <c:valAx>
        <c:axId val="169262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621440"/>
        <c:crosses val="autoZero"/>
        <c:crossBetween val="midCat"/>
      </c:valAx>
      <c:valAx>
        <c:axId val="169262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628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lowbidgee!$I$1</c:f>
              <c:strCache>
                <c:ptCount val="1"/>
                <c:pt idx="0">
                  <c:v>Lowbidgee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lowbidgee!$G$2:$G$13</c:f>
              <c:numCache>
                <c:formatCode>General</c:formatCode>
                <c:ptCount val="12"/>
                <c:pt idx="0">
                  <c:v>353332.24800000002</c:v>
                </c:pt>
                <c:pt idx="1">
                  <c:v>878250.48800000001</c:v>
                </c:pt>
                <c:pt idx="3">
                  <c:v>242773.97899999999</c:v>
                </c:pt>
                <c:pt idx="4">
                  <c:v>293492.18300000002</c:v>
                </c:pt>
                <c:pt idx="5">
                  <c:v>355122.83199999999</c:v>
                </c:pt>
                <c:pt idx="6">
                  <c:v>1607664.9010000001</c:v>
                </c:pt>
                <c:pt idx="7">
                  <c:v>386526.49099999998</c:v>
                </c:pt>
                <c:pt idx="8">
                  <c:v>229819.45800000001</c:v>
                </c:pt>
                <c:pt idx="9">
                  <c:v>198983.41899999999</c:v>
                </c:pt>
                <c:pt idx="10">
                  <c:v>330491.25099999999</c:v>
                </c:pt>
              </c:numCache>
            </c:numRef>
          </c:xVal>
          <c:yVal>
            <c:numRef>
              <c:f>lowbidgee!$I$2:$I$13</c:f>
              <c:numCache>
                <c:formatCode>General</c:formatCode>
                <c:ptCount val="12"/>
                <c:pt idx="0">
                  <c:v>91742</c:v>
                </c:pt>
                <c:pt idx="1">
                  <c:v>66430</c:v>
                </c:pt>
                <c:pt idx="3">
                  <c:v>14451</c:v>
                </c:pt>
                <c:pt idx="4">
                  <c:v>5887</c:v>
                </c:pt>
                <c:pt idx="5">
                  <c:v>6974</c:v>
                </c:pt>
                <c:pt idx="6">
                  <c:v>25494</c:v>
                </c:pt>
                <c:pt idx="7">
                  <c:v>7866</c:v>
                </c:pt>
                <c:pt idx="8">
                  <c:v>3787</c:v>
                </c:pt>
                <c:pt idx="9">
                  <c:v>3467</c:v>
                </c:pt>
                <c:pt idx="10">
                  <c:v>63973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77-43BC-A476-30BFA9804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991216"/>
        <c:axId val="1648989136"/>
      </c:scatterChart>
      <c:valAx>
        <c:axId val="164899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989136"/>
        <c:crosses val="autoZero"/>
        <c:crossBetween val="midCat"/>
      </c:valAx>
      <c:valAx>
        <c:axId val="164898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991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lowbidgee!$J$1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lowbidgee!$G$2:$G$13</c:f>
              <c:numCache>
                <c:formatCode>General</c:formatCode>
                <c:ptCount val="12"/>
                <c:pt idx="0">
                  <c:v>353332.24800000002</c:v>
                </c:pt>
                <c:pt idx="1">
                  <c:v>878250.48800000001</c:v>
                </c:pt>
                <c:pt idx="3">
                  <c:v>242773.97899999999</c:v>
                </c:pt>
                <c:pt idx="4">
                  <c:v>293492.18300000002</c:v>
                </c:pt>
                <c:pt idx="5">
                  <c:v>355122.83199999999</c:v>
                </c:pt>
                <c:pt idx="6">
                  <c:v>1607664.9010000001</c:v>
                </c:pt>
                <c:pt idx="7">
                  <c:v>386526.49099999998</c:v>
                </c:pt>
                <c:pt idx="8">
                  <c:v>229819.45800000001</c:v>
                </c:pt>
                <c:pt idx="9">
                  <c:v>198983.41899999999</c:v>
                </c:pt>
                <c:pt idx="10">
                  <c:v>330491.25099999999</c:v>
                </c:pt>
              </c:numCache>
            </c:numRef>
          </c:xVal>
          <c:yVal>
            <c:numRef>
              <c:f>lowbidgee!$J$2:$J$13</c:f>
              <c:numCache>
                <c:formatCode>General</c:formatCode>
                <c:ptCount val="12"/>
                <c:pt idx="0">
                  <c:v>51411</c:v>
                </c:pt>
                <c:pt idx="1">
                  <c:v>3468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10898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21019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E3-4C04-9115-2A9A3F7EC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991216"/>
        <c:axId val="1648989136"/>
      </c:scatterChart>
      <c:valAx>
        <c:axId val="164899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989136"/>
        <c:crosses val="autoZero"/>
        <c:crossBetween val="midCat"/>
      </c:valAx>
      <c:valAx>
        <c:axId val="164898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991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lowbidgee!$I$1</c:f>
              <c:strCache>
                <c:ptCount val="1"/>
                <c:pt idx="0">
                  <c:v>Lowbidgee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lowbidgee!$H$2:$H$13</c:f>
              <c:numCache>
                <c:formatCode>General</c:formatCode>
                <c:ptCount val="12"/>
                <c:pt idx="0">
                  <c:v>548304.86499999999</c:v>
                </c:pt>
                <c:pt idx="1">
                  <c:v>2721680.983</c:v>
                </c:pt>
                <c:pt idx="3">
                  <c:v>637272.38</c:v>
                </c:pt>
                <c:pt idx="4">
                  <c:v>557572.63399999996</c:v>
                </c:pt>
                <c:pt idx="5">
                  <c:v>722675.84</c:v>
                </c:pt>
                <c:pt idx="6">
                  <c:v>1950336.28</c:v>
                </c:pt>
                <c:pt idx="7">
                  <c:v>1532489</c:v>
                </c:pt>
                <c:pt idx="8">
                  <c:v>445448.33500000002</c:v>
                </c:pt>
                <c:pt idx="9">
                  <c:v>388056.38900000002</c:v>
                </c:pt>
                <c:pt idx="10">
                  <c:v>592252.98199999996</c:v>
                </c:pt>
              </c:numCache>
            </c:numRef>
          </c:xVal>
          <c:yVal>
            <c:numRef>
              <c:f>lowbidgee!$I$2:$I$13</c:f>
              <c:numCache>
                <c:formatCode>General</c:formatCode>
                <c:ptCount val="12"/>
                <c:pt idx="0">
                  <c:v>91742</c:v>
                </c:pt>
                <c:pt idx="1">
                  <c:v>66430</c:v>
                </c:pt>
                <c:pt idx="3">
                  <c:v>14451</c:v>
                </c:pt>
                <c:pt idx="4">
                  <c:v>5887</c:v>
                </c:pt>
                <c:pt idx="5">
                  <c:v>6974</c:v>
                </c:pt>
                <c:pt idx="6">
                  <c:v>25494</c:v>
                </c:pt>
                <c:pt idx="7">
                  <c:v>7866</c:v>
                </c:pt>
                <c:pt idx="8">
                  <c:v>3787</c:v>
                </c:pt>
                <c:pt idx="9">
                  <c:v>3467</c:v>
                </c:pt>
                <c:pt idx="10">
                  <c:v>63973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4A-4207-ADE6-803E2ADFE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963344"/>
        <c:axId val="1648983728"/>
      </c:scatterChart>
      <c:valAx>
        <c:axId val="164896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983728"/>
        <c:crosses val="autoZero"/>
        <c:crossBetween val="midCat"/>
      </c:valAx>
      <c:valAx>
        <c:axId val="164898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96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lowbidgee!$J$1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lowbidgee!$H$2:$H$13</c:f>
              <c:numCache>
                <c:formatCode>General</c:formatCode>
                <c:ptCount val="12"/>
                <c:pt idx="0">
                  <c:v>548304.86499999999</c:v>
                </c:pt>
                <c:pt idx="1">
                  <c:v>2721680.983</c:v>
                </c:pt>
                <c:pt idx="3">
                  <c:v>637272.38</c:v>
                </c:pt>
                <c:pt idx="4">
                  <c:v>557572.63399999996</c:v>
                </c:pt>
                <c:pt idx="5">
                  <c:v>722675.84</c:v>
                </c:pt>
                <c:pt idx="6">
                  <c:v>1950336.28</c:v>
                </c:pt>
                <c:pt idx="7">
                  <c:v>1532489</c:v>
                </c:pt>
                <c:pt idx="8">
                  <c:v>445448.33500000002</c:v>
                </c:pt>
                <c:pt idx="9">
                  <c:v>388056.38900000002</c:v>
                </c:pt>
                <c:pt idx="10">
                  <c:v>592252.98199999996</c:v>
                </c:pt>
              </c:numCache>
            </c:numRef>
          </c:xVal>
          <c:yVal>
            <c:numRef>
              <c:f>lowbidgee!$J$2:$J$13</c:f>
              <c:numCache>
                <c:formatCode>General</c:formatCode>
                <c:ptCount val="12"/>
                <c:pt idx="0">
                  <c:v>51411</c:v>
                </c:pt>
                <c:pt idx="1">
                  <c:v>3468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10898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21019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CB-42CE-BF22-3F0618656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963344"/>
        <c:axId val="1648983728"/>
      </c:scatterChart>
      <c:valAx>
        <c:axId val="164896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983728"/>
        <c:crosses val="autoZero"/>
        <c:crossBetween val="midCat"/>
      </c:valAx>
      <c:valAx>
        <c:axId val="164898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96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Macquarie Marshes 3 mos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macquariemarshes!$J$1</c:f>
              <c:strCache>
                <c:ptCount val="1"/>
                <c:pt idx="0">
                  <c:v>Macquarie Marshes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2481627296587927E-2"/>
                  <c:y val="-2.81944444444444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macquariemarshes!$F$2:$F$13</c:f>
              <c:numCache>
                <c:formatCode>General</c:formatCode>
                <c:ptCount val="12"/>
                <c:pt idx="0">
                  <c:v>132281.28899999999</c:v>
                </c:pt>
                <c:pt idx="1">
                  <c:v>72214.493000000002</c:v>
                </c:pt>
                <c:pt idx="2">
                  <c:v>128003.299</c:v>
                </c:pt>
                <c:pt idx="5">
                  <c:v>41832.421000000002</c:v>
                </c:pt>
                <c:pt idx="9">
                  <c:v>178.131</c:v>
                </c:pt>
                <c:pt idx="10">
                  <c:v>77790.455000000002</c:v>
                </c:pt>
              </c:numCache>
            </c:numRef>
          </c:xVal>
          <c:yVal>
            <c:numRef>
              <c:f>macquariemarshes!$J$2:$J$13</c:f>
              <c:numCache>
                <c:formatCode>General</c:formatCode>
                <c:ptCount val="12"/>
                <c:pt idx="0">
                  <c:v>73884</c:v>
                </c:pt>
                <c:pt idx="1">
                  <c:v>79660</c:v>
                </c:pt>
                <c:pt idx="2">
                  <c:v>82041</c:v>
                </c:pt>
                <c:pt idx="5">
                  <c:v>11115</c:v>
                </c:pt>
                <c:pt idx="9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DC-420E-B8B5-6176F5B13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2631840"/>
        <c:axId val="1692635584"/>
      </c:scatterChart>
      <c:valAx>
        <c:axId val="169263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635584"/>
        <c:crosses val="autoZero"/>
        <c:crossBetween val="midCat"/>
      </c:valAx>
      <c:valAx>
        <c:axId val="169263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63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Macquarie Marshes 6 mos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macquariemarshes!$J$1</c:f>
              <c:strCache>
                <c:ptCount val="1"/>
                <c:pt idx="0">
                  <c:v>Macquarie Marshes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macquariemarshes!$G$2:$G$13</c:f>
              <c:numCache>
                <c:formatCode>General</c:formatCode>
                <c:ptCount val="12"/>
                <c:pt idx="0">
                  <c:v>135789.82</c:v>
                </c:pt>
                <c:pt idx="1">
                  <c:v>94414.827000000005</c:v>
                </c:pt>
                <c:pt idx="2">
                  <c:v>234516.87899999999</c:v>
                </c:pt>
                <c:pt idx="5">
                  <c:v>44741.955000000002</c:v>
                </c:pt>
                <c:pt idx="9">
                  <c:v>1170.8499999999999</c:v>
                </c:pt>
                <c:pt idx="10">
                  <c:v>109993.626</c:v>
                </c:pt>
              </c:numCache>
            </c:numRef>
          </c:xVal>
          <c:yVal>
            <c:numRef>
              <c:f>macquariemarshes!$J$2:$J$13</c:f>
              <c:numCache>
                <c:formatCode>General</c:formatCode>
                <c:ptCount val="12"/>
                <c:pt idx="0">
                  <c:v>73884</c:v>
                </c:pt>
                <c:pt idx="1">
                  <c:v>79660</c:v>
                </c:pt>
                <c:pt idx="2">
                  <c:v>82041</c:v>
                </c:pt>
                <c:pt idx="5">
                  <c:v>11115</c:v>
                </c:pt>
                <c:pt idx="9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AF-46C1-B8CA-35EE371F2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975856"/>
        <c:axId val="1906970032"/>
      </c:scatterChart>
      <c:valAx>
        <c:axId val="190697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970032"/>
        <c:crosses val="autoZero"/>
        <c:crossBetween val="midCat"/>
      </c:valAx>
      <c:valAx>
        <c:axId val="190697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975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Macquarie Marshes 12 mos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macquariemarshes!$J$1</c:f>
              <c:strCache>
                <c:ptCount val="1"/>
                <c:pt idx="0">
                  <c:v>Macquarie Marshes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macquariemarshes!$H$2:$H$13</c:f>
              <c:numCache>
                <c:formatCode>General</c:formatCode>
                <c:ptCount val="12"/>
                <c:pt idx="0">
                  <c:v>177714.43700000001</c:v>
                </c:pt>
                <c:pt idx="1">
                  <c:v>390040.283</c:v>
                </c:pt>
                <c:pt idx="2">
                  <c:v>420012.89799999999</c:v>
                </c:pt>
                <c:pt idx="5">
                  <c:v>72641.423999999999</c:v>
                </c:pt>
                <c:pt idx="9">
                  <c:v>37801.330999999998</c:v>
                </c:pt>
                <c:pt idx="10">
                  <c:v>152153</c:v>
                </c:pt>
              </c:numCache>
            </c:numRef>
          </c:xVal>
          <c:yVal>
            <c:numRef>
              <c:f>macquariemarshes!$J$2:$J$13</c:f>
              <c:numCache>
                <c:formatCode>General</c:formatCode>
                <c:ptCount val="12"/>
                <c:pt idx="0">
                  <c:v>73884</c:v>
                </c:pt>
                <c:pt idx="1">
                  <c:v>79660</c:v>
                </c:pt>
                <c:pt idx="2">
                  <c:v>82041</c:v>
                </c:pt>
                <c:pt idx="5">
                  <c:v>11115</c:v>
                </c:pt>
                <c:pt idx="9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D1-4032-B942-DF6E9F02F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403632"/>
        <c:axId val="1865412784"/>
      </c:scatterChart>
      <c:valAx>
        <c:axId val="186540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412784"/>
        <c:crosses val="autoZero"/>
        <c:crossBetween val="midCat"/>
      </c:valAx>
      <c:valAx>
        <c:axId val="186541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40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Paroo Overflow Lakes 3 mos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paroo!$J$1</c:f>
              <c:strCache>
                <c:ptCount val="1"/>
                <c:pt idx="0">
                  <c:v>Paroo Overflow Lakes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paroo!$F$2:$F$13</c:f>
              <c:numCache>
                <c:formatCode>General</c:formatCode>
                <c:ptCount val="12"/>
                <c:pt idx="0">
                  <c:v>19114.056</c:v>
                </c:pt>
                <c:pt idx="1">
                  <c:v>2.133</c:v>
                </c:pt>
                <c:pt idx="3">
                  <c:v>822.98900000000003</c:v>
                </c:pt>
                <c:pt idx="4">
                  <c:v>12129.365</c:v>
                </c:pt>
                <c:pt idx="5">
                  <c:v>797.79899999999998</c:v>
                </c:pt>
                <c:pt idx="6">
                  <c:v>73440.990000000005</c:v>
                </c:pt>
                <c:pt idx="10">
                  <c:v>4708.43</c:v>
                </c:pt>
              </c:numCache>
            </c:numRef>
          </c:xVal>
          <c:yVal>
            <c:numRef>
              <c:f>paroo!$J$2:$J$13</c:f>
              <c:numCache>
                <c:formatCode>General</c:formatCode>
                <c:ptCount val="12"/>
                <c:pt idx="0">
                  <c:v>7681</c:v>
                </c:pt>
                <c:pt idx="1">
                  <c:v>32242</c:v>
                </c:pt>
                <c:pt idx="3">
                  <c:v>84372</c:v>
                </c:pt>
                <c:pt idx="4">
                  <c:v>2537</c:v>
                </c:pt>
                <c:pt idx="5">
                  <c:v>937</c:v>
                </c:pt>
                <c:pt idx="6">
                  <c:v>868</c:v>
                </c:pt>
                <c:pt idx="7">
                  <c:v>3821</c:v>
                </c:pt>
                <c:pt idx="9">
                  <c:v>2159</c:v>
                </c:pt>
                <c:pt idx="10">
                  <c:v>8024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B8-4BF9-9079-2C10D94C8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550688"/>
        <c:axId val="1994551104"/>
      </c:scatterChart>
      <c:valAx>
        <c:axId val="199455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551104"/>
        <c:crosses val="autoZero"/>
        <c:crossBetween val="midCat"/>
      </c:valAx>
      <c:valAx>
        <c:axId val="199455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55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paroo!$K$1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paroo!$F$2:$F$13</c:f>
              <c:numCache>
                <c:formatCode>General</c:formatCode>
                <c:ptCount val="12"/>
                <c:pt idx="0">
                  <c:v>19114.056</c:v>
                </c:pt>
                <c:pt idx="1">
                  <c:v>2.133</c:v>
                </c:pt>
                <c:pt idx="3">
                  <c:v>822.98900000000003</c:v>
                </c:pt>
                <c:pt idx="4">
                  <c:v>12129.365</c:v>
                </c:pt>
                <c:pt idx="5">
                  <c:v>797.79899999999998</c:v>
                </c:pt>
                <c:pt idx="6">
                  <c:v>73440.990000000005</c:v>
                </c:pt>
                <c:pt idx="10">
                  <c:v>4708.43</c:v>
                </c:pt>
              </c:numCache>
            </c:numRef>
          </c:xVal>
          <c:yVal>
            <c:numRef>
              <c:f>paroo!$K$2:$K$13</c:f>
              <c:numCache>
                <c:formatCode>General</c:formatCode>
                <c:ptCount val="12"/>
                <c:pt idx="0">
                  <c:v>2076</c:v>
                </c:pt>
                <c:pt idx="1">
                  <c:v>534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35</c:v>
                </c:pt>
                <c:pt idx="7">
                  <c:v>0</c:v>
                </c:pt>
                <c:pt idx="9">
                  <c:v>0</c:v>
                </c:pt>
                <c:pt idx="1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58-43A6-ABF6-5B7C3F86E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4550688"/>
        <c:axId val="1994551104"/>
      </c:scatterChart>
      <c:valAx>
        <c:axId val="199455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551104"/>
        <c:crosses val="autoZero"/>
        <c:crossBetween val="midCat"/>
      </c:valAx>
      <c:valAx>
        <c:axId val="199455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55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Paroo Overflow Lakes</a:t>
            </a:r>
            <a:r>
              <a:rPr lang="en-US" baseline="0"/>
              <a:t> 6 mos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paroo!$J$1</c:f>
              <c:strCache>
                <c:ptCount val="1"/>
                <c:pt idx="0">
                  <c:v>Paroo Overflow Lakes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paroo!$G$2:$G$13</c:f>
              <c:numCache>
                <c:formatCode>General</c:formatCode>
                <c:ptCount val="12"/>
                <c:pt idx="0">
                  <c:v>22112.021000000001</c:v>
                </c:pt>
                <c:pt idx="1">
                  <c:v>815.71</c:v>
                </c:pt>
                <c:pt idx="3">
                  <c:v>2029.65</c:v>
                </c:pt>
                <c:pt idx="4">
                  <c:v>13230.72</c:v>
                </c:pt>
                <c:pt idx="5">
                  <c:v>21988.998</c:v>
                </c:pt>
                <c:pt idx="6">
                  <c:v>103014.65</c:v>
                </c:pt>
                <c:pt idx="7">
                  <c:v>242</c:v>
                </c:pt>
                <c:pt idx="9">
                  <c:v>107990.717</c:v>
                </c:pt>
                <c:pt idx="10">
                  <c:v>10315.540000000001</c:v>
                </c:pt>
              </c:numCache>
            </c:numRef>
          </c:xVal>
          <c:yVal>
            <c:numRef>
              <c:f>paroo!$J$2:$J$13</c:f>
              <c:numCache>
                <c:formatCode>General</c:formatCode>
                <c:ptCount val="12"/>
                <c:pt idx="0">
                  <c:v>7681</c:v>
                </c:pt>
                <c:pt idx="1">
                  <c:v>32242</c:v>
                </c:pt>
                <c:pt idx="3">
                  <c:v>84372</c:v>
                </c:pt>
                <c:pt idx="4">
                  <c:v>2537</c:v>
                </c:pt>
                <c:pt idx="5">
                  <c:v>937</c:v>
                </c:pt>
                <c:pt idx="6">
                  <c:v>868</c:v>
                </c:pt>
                <c:pt idx="7">
                  <c:v>3821</c:v>
                </c:pt>
                <c:pt idx="9">
                  <c:v>2159</c:v>
                </c:pt>
                <c:pt idx="10">
                  <c:v>8024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AF-443D-95A9-0E6996826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353824"/>
        <c:axId val="1924354240"/>
      </c:scatterChart>
      <c:valAx>
        <c:axId val="192435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354240"/>
        <c:crosses val="autoZero"/>
        <c:crossBetween val="midCat"/>
      </c:valAx>
      <c:valAx>
        <c:axId val="192435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35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Paroo Overflow Lakes</a:t>
            </a:r>
            <a:r>
              <a:rPr lang="en-US" baseline="0"/>
              <a:t> 6 mos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paroo!$K$1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paroo!$G$2:$G$13</c:f>
              <c:numCache>
                <c:formatCode>General</c:formatCode>
                <c:ptCount val="12"/>
                <c:pt idx="0">
                  <c:v>22112.021000000001</c:v>
                </c:pt>
                <c:pt idx="1">
                  <c:v>815.71</c:v>
                </c:pt>
                <c:pt idx="3">
                  <c:v>2029.65</c:v>
                </c:pt>
                <c:pt idx="4">
                  <c:v>13230.72</c:v>
                </c:pt>
                <c:pt idx="5">
                  <c:v>21988.998</c:v>
                </c:pt>
                <c:pt idx="6">
                  <c:v>103014.65</c:v>
                </c:pt>
                <c:pt idx="7">
                  <c:v>242</c:v>
                </c:pt>
                <c:pt idx="9">
                  <c:v>107990.717</c:v>
                </c:pt>
                <c:pt idx="10">
                  <c:v>10315.540000000001</c:v>
                </c:pt>
              </c:numCache>
            </c:numRef>
          </c:xVal>
          <c:yVal>
            <c:numRef>
              <c:f>paroo!$K$2:$K$13</c:f>
              <c:numCache>
                <c:formatCode>General</c:formatCode>
                <c:ptCount val="12"/>
                <c:pt idx="0">
                  <c:v>2076</c:v>
                </c:pt>
                <c:pt idx="1">
                  <c:v>534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35</c:v>
                </c:pt>
                <c:pt idx="7">
                  <c:v>0</c:v>
                </c:pt>
                <c:pt idx="9">
                  <c:v>0</c:v>
                </c:pt>
                <c:pt idx="1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88-4EAF-A500-083CED674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353824"/>
        <c:axId val="1924354240"/>
      </c:scatterChart>
      <c:valAx>
        <c:axId val="192435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354240"/>
        <c:crosses val="autoZero"/>
        <c:crossBetween val="midCat"/>
      </c:valAx>
      <c:valAx>
        <c:axId val="192435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35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Paroo Overflow Lakes 12 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paroo!$J$1</c:f>
              <c:strCache>
                <c:ptCount val="1"/>
                <c:pt idx="0">
                  <c:v>Paroo Overflow Lakes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paroo!$H$2:$H$13</c:f>
              <c:numCache>
                <c:formatCode>General</c:formatCode>
                <c:ptCount val="12"/>
                <c:pt idx="0">
                  <c:v>1426520</c:v>
                </c:pt>
                <c:pt idx="1">
                  <c:v>307375.77500000002</c:v>
                </c:pt>
                <c:pt idx="3">
                  <c:v>7723.66</c:v>
                </c:pt>
                <c:pt idx="4">
                  <c:v>100019.171</c:v>
                </c:pt>
                <c:pt idx="5">
                  <c:v>64127.370999999999</c:v>
                </c:pt>
                <c:pt idx="6">
                  <c:v>153528.89000000001</c:v>
                </c:pt>
                <c:pt idx="7">
                  <c:v>35589.089999999997</c:v>
                </c:pt>
                <c:pt idx="9">
                  <c:v>111225.1</c:v>
                </c:pt>
                <c:pt idx="10">
                  <c:v>426413.65</c:v>
                </c:pt>
              </c:numCache>
            </c:numRef>
          </c:xVal>
          <c:yVal>
            <c:numRef>
              <c:f>paroo!$J$2:$J$13</c:f>
              <c:numCache>
                <c:formatCode>General</c:formatCode>
                <c:ptCount val="12"/>
                <c:pt idx="0">
                  <c:v>7681</c:v>
                </c:pt>
                <c:pt idx="1">
                  <c:v>32242</c:v>
                </c:pt>
                <c:pt idx="3">
                  <c:v>84372</c:v>
                </c:pt>
                <c:pt idx="4">
                  <c:v>2537</c:v>
                </c:pt>
                <c:pt idx="5">
                  <c:v>937</c:v>
                </c:pt>
                <c:pt idx="6">
                  <c:v>868</c:v>
                </c:pt>
                <c:pt idx="7">
                  <c:v>3821</c:v>
                </c:pt>
                <c:pt idx="9">
                  <c:v>2159</c:v>
                </c:pt>
                <c:pt idx="10">
                  <c:v>8024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1E-45FF-80A0-B65997DA5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328864"/>
        <c:axId val="1924331360"/>
      </c:scatterChart>
      <c:valAx>
        <c:axId val="192432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331360"/>
        <c:crosses val="autoZero"/>
        <c:crossBetween val="midCat"/>
      </c:valAx>
      <c:valAx>
        <c:axId val="192433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32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Paroo Overflow Lakes 12 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paroo!$K$1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paroo!$H$2:$H$13</c:f>
              <c:numCache>
                <c:formatCode>General</c:formatCode>
                <c:ptCount val="12"/>
                <c:pt idx="0">
                  <c:v>1426520</c:v>
                </c:pt>
                <c:pt idx="1">
                  <c:v>307375.77500000002</c:v>
                </c:pt>
                <c:pt idx="3">
                  <c:v>7723.66</c:v>
                </c:pt>
                <c:pt idx="4">
                  <c:v>100019.171</c:v>
                </c:pt>
                <c:pt idx="5">
                  <c:v>64127.370999999999</c:v>
                </c:pt>
                <c:pt idx="6">
                  <c:v>153528.89000000001</c:v>
                </c:pt>
                <c:pt idx="7">
                  <c:v>35589.089999999997</c:v>
                </c:pt>
                <c:pt idx="9">
                  <c:v>111225.1</c:v>
                </c:pt>
                <c:pt idx="10">
                  <c:v>426413.65</c:v>
                </c:pt>
              </c:numCache>
            </c:numRef>
          </c:xVal>
          <c:yVal>
            <c:numRef>
              <c:f>paroo!$K$2:$K$13</c:f>
              <c:numCache>
                <c:formatCode>General</c:formatCode>
                <c:ptCount val="12"/>
                <c:pt idx="0">
                  <c:v>2076</c:v>
                </c:pt>
                <c:pt idx="1">
                  <c:v>534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35</c:v>
                </c:pt>
                <c:pt idx="7">
                  <c:v>0</c:v>
                </c:pt>
                <c:pt idx="9">
                  <c:v>0</c:v>
                </c:pt>
                <c:pt idx="1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9B-40EC-94D5-76D55CBE5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328864"/>
        <c:axId val="1924331360"/>
      </c:scatterChart>
      <c:valAx>
        <c:axId val="192432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331360"/>
        <c:crosses val="autoZero"/>
        <c:crossBetween val="midCat"/>
      </c:valAx>
      <c:valAx>
        <c:axId val="192433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32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Renmark 3 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renmark!$I$1</c:f>
              <c:strCache>
                <c:ptCount val="1"/>
                <c:pt idx="0">
                  <c:v>Renmark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renmark!$F$2:$F$16</c:f>
              <c:numCache>
                <c:formatCode>General</c:formatCode>
                <c:ptCount val="15"/>
                <c:pt idx="1">
                  <c:v>210769</c:v>
                </c:pt>
                <c:pt idx="2">
                  <c:v>187307</c:v>
                </c:pt>
                <c:pt idx="3">
                  <c:v>1199541</c:v>
                </c:pt>
                <c:pt idx="4">
                  <c:v>2794337</c:v>
                </c:pt>
                <c:pt idx="8">
                  <c:v>740081</c:v>
                </c:pt>
                <c:pt idx="9">
                  <c:v>2746937</c:v>
                </c:pt>
                <c:pt idx="10">
                  <c:v>680773</c:v>
                </c:pt>
                <c:pt idx="11">
                  <c:v>577273</c:v>
                </c:pt>
                <c:pt idx="12">
                  <c:v>378391</c:v>
                </c:pt>
                <c:pt idx="13">
                  <c:v>889090</c:v>
                </c:pt>
              </c:numCache>
            </c:numRef>
          </c:xVal>
          <c:yVal>
            <c:numRef>
              <c:f>renmark!$I$2:$I$16</c:f>
              <c:numCache>
                <c:formatCode>General</c:formatCode>
                <c:ptCount val="15"/>
                <c:pt idx="1">
                  <c:v>2566</c:v>
                </c:pt>
                <c:pt idx="2">
                  <c:v>13848</c:v>
                </c:pt>
                <c:pt idx="3">
                  <c:v>2324</c:v>
                </c:pt>
                <c:pt idx="4">
                  <c:v>3954</c:v>
                </c:pt>
                <c:pt idx="8">
                  <c:v>171</c:v>
                </c:pt>
                <c:pt idx="9">
                  <c:v>291</c:v>
                </c:pt>
                <c:pt idx="10">
                  <c:v>1046</c:v>
                </c:pt>
                <c:pt idx="11">
                  <c:v>765</c:v>
                </c:pt>
                <c:pt idx="12">
                  <c:v>822</c:v>
                </c:pt>
                <c:pt idx="13">
                  <c:v>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E2-4E52-A467-5F8733F3E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945936"/>
        <c:axId val="1925946352"/>
      </c:scatterChart>
      <c:valAx>
        <c:axId val="192594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946352"/>
        <c:crosses val="autoZero"/>
        <c:crossBetween val="midCat"/>
      </c:valAx>
      <c:valAx>
        <c:axId val="192594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945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Renmark 3 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renmark!$J$1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renmark!$F$2:$F$16</c:f>
              <c:numCache>
                <c:formatCode>General</c:formatCode>
                <c:ptCount val="15"/>
                <c:pt idx="1">
                  <c:v>210769</c:v>
                </c:pt>
                <c:pt idx="2">
                  <c:v>187307</c:v>
                </c:pt>
                <c:pt idx="3">
                  <c:v>1199541</c:v>
                </c:pt>
                <c:pt idx="4">
                  <c:v>2794337</c:v>
                </c:pt>
                <c:pt idx="8">
                  <c:v>740081</c:v>
                </c:pt>
                <c:pt idx="9">
                  <c:v>2746937</c:v>
                </c:pt>
                <c:pt idx="10">
                  <c:v>680773</c:v>
                </c:pt>
                <c:pt idx="11">
                  <c:v>577273</c:v>
                </c:pt>
                <c:pt idx="12">
                  <c:v>378391</c:v>
                </c:pt>
                <c:pt idx="13">
                  <c:v>889090</c:v>
                </c:pt>
              </c:numCache>
            </c:numRef>
          </c:xVal>
          <c:yVal>
            <c:numRef>
              <c:f>renmark!$J$2:$J$16</c:f>
              <c:numCache>
                <c:formatCode>General</c:formatCode>
                <c:ptCount val="15"/>
                <c:pt idx="1">
                  <c:v>0</c:v>
                </c:pt>
                <c:pt idx="2">
                  <c:v>26</c:v>
                </c:pt>
                <c:pt idx="3">
                  <c:v>54</c:v>
                </c:pt>
                <c:pt idx="4">
                  <c:v>0</c:v>
                </c:pt>
                <c:pt idx="8">
                  <c:v>0</c:v>
                </c:pt>
                <c:pt idx="9">
                  <c:v>121</c:v>
                </c:pt>
                <c:pt idx="10">
                  <c:v>90</c:v>
                </c:pt>
                <c:pt idx="11">
                  <c:v>57</c:v>
                </c:pt>
                <c:pt idx="12">
                  <c:v>1</c:v>
                </c:pt>
                <c:pt idx="13">
                  <c:v>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A5-4A91-9143-EE72C5A78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945936"/>
        <c:axId val="1925946352"/>
      </c:scatterChart>
      <c:valAx>
        <c:axId val="192594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946352"/>
        <c:crosses val="autoZero"/>
        <c:crossBetween val="midCat"/>
      </c:valAx>
      <c:valAx>
        <c:axId val="192594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945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Renmark 6 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renmark!$I$1</c:f>
              <c:strCache>
                <c:ptCount val="1"/>
                <c:pt idx="0">
                  <c:v>Renmark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renmark!$G$2:$G$16</c:f>
              <c:numCache>
                <c:formatCode>General</c:formatCode>
                <c:ptCount val="15"/>
                <c:pt idx="1">
                  <c:v>375924</c:v>
                </c:pt>
                <c:pt idx="2">
                  <c:v>374082</c:v>
                </c:pt>
                <c:pt idx="3">
                  <c:v>1670796</c:v>
                </c:pt>
                <c:pt idx="4">
                  <c:v>5490841</c:v>
                </c:pt>
                <c:pt idx="8">
                  <c:v>1201491</c:v>
                </c:pt>
                <c:pt idx="9">
                  <c:v>3084957</c:v>
                </c:pt>
                <c:pt idx="10">
                  <c:v>1237677</c:v>
                </c:pt>
                <c:pt idx="11">
                  <c:v>987643</c:v>
                </c:pt>
                <c:pt idx="12">
                  <c:v>749081</c:v>
                </c:pt>
                <c:pt idx="13">
                  <c:v>1326324</c:v>
                </c:pt>
              </c:numCache>
            </c:numRef>
          </c:xVal>
          <c:yVal>
            <c:numRef>
              <c:f>renmark!$I$2:$I$16</c:f>
              <c:numCache>
                <c:formatCode>General</c:formatCode>
                <c:ptCount val="15"/>
                <c:pt idx="1">
                  <c:v>2566</c:v>
                </c:pt>
                <c:pt idx="2">
                  <c:v>13848</c:v>
                </c:pt>
                <c:pt idx="3">
                  <c:v>2324</c:v>
                </c:pt>
                <c:pt idx="4">
                  <c:v>3954</c:v>
                </c:pt>
                <c:pt idx="8">
                  <c:v>171</c:v>
                </c:pt>
                <c:pt idx="9">
                  <c:v>291</c:v>
                </c:pt>
                <c:pt idx="10">
                  <c:v>1046</c:v>
                </c:pt>
                <c:pt idx="11">
                  <c:v>765</c:v>
                </c:pt>
                <c:pt idx="12">
                  <c:v>822</c:v>
                </c:pt>
                <c:pt idx="13">
                  <c:v>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4A-4707-9583-5B1CFA7AE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864384"/>
        <c:axId val="1638865632"/>
      </c:scatterChart>
      <c:valAx>
        <c:axId val="163886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865632"/>
        <c:crosses val="autoZero"/>
        <c:crossBetween val="midCat"/>
      </c:valAx>
      <c:valAx>
        <c:axId val="163886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86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Renmark 6 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renmark!$J$1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renmark!$G$2:$G$16</c:f>
              <c:numCache>
                <c:formatCode>General</c:formatCode>
                <c:ptCount val="15"/>
                <c:pt idx="1">
                  <c:v>375924</c:v>
                </c:pt>
                <c:pt idx="2">
                  <c:v>374082</c:v>
                </c:pt>
                <c:pt idx="3">
                  <c:v>1670796</c:v>
                </c:pt>
                <c:pt idx="4">
                  <c:v>5490841</c:v>
                </c:pt>
                <c:pt idx="8">
                  <c:v>1201491</c:v>
                </c:pt>
                <c:pt idx="9">
                  <c:v>3084957</c:v>
                </c:pt>
                <c:pt idx="10">
                  <c:v>1237677</c:v>
                </c:pt>
                <c:pt idx="11">
                  <c:v>987643</c:v>
                </c:pt>
                <c:pt idx="12">
                  <c:v>749081</c:v>
                </c:pt>
                <c:pt idx="13">
                  <c:v>1326324</c:v>
                </c:pt>
              </c:numCache>
            </c:numRef>
          </c:xVal>
          <c:yVal>
            <c:numRef>
              <c:f>renmark!$J$2:$J$16</c:f>
              <c:numCache>
                <c:formatCode>General</c:formatCode>
                <c:ptCount val="15"/>
                <c:pt idx="1">
                  <c:v>0</c:v>
                </c:pt>
                <c:pt idx="2">
                  <c:v>26</c:v>
                </c:pt>
                <c:pt idx="3">
                  <c:v>54</c:v>
                </c:pt>
                <c:pt idx="4">
                  <c:v>0</c:v>
                </c:pt>
                <c:pt idx="8">
                  <c:v>0</c:v>
                </c:pt>
                <c:pt idx="9">
                  <c:v>121</c:v>
                </c:pt>
                <c:pt idx="10">
                  <c:v>90</c:v>
                </c:pt>
                <c:pt idx="11">
                  <c:v>57</c:v>
                </c:pt>
                <c:pt idx="12">
                  <c:v>1</c:v>
                </c:pt>
                <c:pt idx="13">
                  <c:v>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8B-492E-8E54-88BB568E9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864384"/>
        <c:axId val="1638865632"/>
      </c:scatterChart>
      <c:valAx>
        <c:axId val="163886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865632"/>
        <c:crosses val="autoZero"/>
        <c:crossBetween val="midCat"/>
      </c:valAx>
      <c:valAx>
        <c:axId val="163886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864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renmark!$I$1</c:f>
              <c:strCache>
                <c:ptCount val="1"/>
                <c:pt idx="0">
                  <c:v>Renmark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renmark!$H$2:$H$16</c:f>
              <c:numCache>
                <c:formatCode>General</c:formatCode>
                <c:ptCount val="15"/>
                <c:pt idx="1">
                  <c:v>1038675</c:v>
                </c:pt>
                <c:pt idx="2">
                  <c:v>1149604</c:v>
                </c:pt>
                <c:pt idx="3">
                  <c:v>2822085</c:v>
                </c:pt>
                <c:pt idx="4">
                  <c:v>16983482</c:v>
                </c:pt>
                <c:pt idx="8">
                  <c:v>2780255</c:v>
                </c:pt>
                <c:pt idx="9">
                  <c:v>4458134</c:v>
                </c:pt>
                <c:pt idx="10">
                  <c:v>7179771</c:v>
                </c:pt>
                <c:pt idx="11">
                  <c:v>2583054</c:v>
                </c:pt>
                <c:pt idx="12">
                  <c:v>2211894</c:v>
                </c:pt>
                <c:pt idx="13">
                  <c:v>2984212</c:v>
                </c:pt>
              </c:numCache>
            </c:numRef>
          </c:xVal>
          <c:yVal>
            <c:numRef>
              <c:f>renmark!$I$2:$I$16</c:f>
              <c:numCache>
                <c:formatCode>General</c:formatCode>
                <c:ptCount val="15"/>
                <c:pt idx="1">
                  <c:v>2566</c:v>
                </c:pt>
                <c:pt idx="2">
                  <c:v>13848</c:v>
                </c:pt>
                <c:pt idx="3">
                  <c:v>2324</c:v>
                </c:pt>
                <c:pt idx="4">
                  <c:v>3954</c:v>
                </c:pt>
                <c:pt idx="8">
                  <c:v>171</c:v>
                </c:pt>
                <c:pt idx="9">
                  <c:v>291</c:v>
                </c:pt>
                <c:pt idx="10">
                  <c:v>1046</c:v>
                </c:pt>
                <c:pt idx="11">
                  <c:v>765</c:v>
                </c:pt>
                <c:pt idx="12">
                  <c:v>822</c:v>
                </c:pt>
                <c:pt idx="13">
                  <c:v>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4-47AF-B355-8DDC8950F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227328"/>
        <c:axId val="990227744"/>
      </c:scatterChart>
      <c:valAx>
        <c:axId val="99022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227744"/>
        <c:crosses val="autoZero"/>
        <c:crossBetween val="midCat"/>
      </c:valAx>
      <c:valAx>
        <c:axId val="99022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22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renmark!$J$1</c:f>
              <c:strCache>
                <c:ptCount val="1"/>
                <c:pt idx="0">
                  <c:v>breed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renmark!$H$2:$H$16</c:f>
              <c:numCache>
                <c:formatCode>General</c:formatCode>
                <c:ptCount val="15"/>
                <c:pt idx="1">
                  <c:v>1038675</c:v>
                </c:pt>
                <c:pt idx="2">
                  <c:v>1149604</c:v>
                </c:pt>
                <c:pt idx="3">
                  <c:v>2822085</c:v>
                </c:pt>
                <c:pt idx="4">
                  <c:v>16983482</c:v>
                </c:pt>
                <c:pt idx="8">
                  <c:v>2780255</c:v>
                </c:pt>
                <c:pt idx="9">
                  <c:v>4458134</c:v>
                </c:pt>
                <c:pt idx="10">
                  <c:v>7179771</c:v>
                </c:pt>
                <c:pt idx="11">
                  <c:v>2583054</c:v>
                </c:pt>
                <c:pt idx="12">
                  <c:v>2211894</c:v>
                </c:pt>
                <c:pt idx="13">
                  <c:v>2984212</c:v>
                </c:pt>
              </c:numCache>
            </c:numRef>
          </c:xVal>
          <c:yVal>
            <c:numRef>
              <c:f>renmark!$J$2:$J$16</c:f>
              <c:numCache>
                <c:formatCode>General</c:formatCode>
                <c:ptCount val="15"/>
                <c:pt idx="1">
                  <c:v>0</c:v>
                </c:pt>
                <c:pt idx="2">
                  <c:v>26</c:v>
                </c:pt>
                <c:pt idx="3">
                  <c:v>54</c:v>
                </c:pt>
                <c:pt idx="4">
                  <c:v>0</c:v>
                </c:pt>
                <c:pt idx="8">
                  <c:v>0</c:v>
                </c:pt>
                <c:pt idx="9">
                  <c:v>121</c:v>
                </c:pt>
                <c:pt idx="10">
                  <c:v>90</c:v>
                </c:pt>
                <c:pt idx="11">
                  <c:v>57</c:v>
                </c:pt>
                <c:pt idx="12">
                  <c:v>1</c:v>
                </c:pt>
                <c:pt idx="13">
                  <c:v>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41-474B-B3CD-9F3212378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227328"/>
        <c:axId val="990227744"/>
      </c:scatterChart>
      <c:valAx>
        <c:axId val="99022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227744"/>
        <c:crosses val="autoZero"/>
        <c:crossBetween val="midCat"/>
      </c:valAx>
      <c:valAx>
        <c:axId val="99022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22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wyandra 3</a:t>
            </a:r>
            <a:r>
              <a:rPr lang="en-US" baseline="0"/>
              <a:t> mos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yantabulla!$N$1</c:f>
              <c:strCache>
                <c:ptCount val="1"/>
                <c:pt idx="0">
                  <c:v>Yantabulla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yantabulla!$F$2:$F$13</c:f>
              <c:numCache>
                <c:formatCode>General</c:formatCode>
                <c:ptCount val="12"/>
                <c:pt idx="0">
                  <c:v>2426.86</c:v>
                </c:pt>
                <c:pt idx="4">
                  <c:v>4783.6499999999996</c:v>
                </c:pt>
                <c:pt idx="5">
                  <c:v>292.95</c:v>
                </c:pt>
                <c:pt idx="6">
                  <c:v>372752.71</c:v>
                </c:pt>
                <c:pt idx="9">
                  <c:v>69</c:v>
                </c:pt>
                <c:pt idx="10">
                  <c:v>89.7</c:v>
                </c:pt>
              </c:numCache>
            </c:numRef>
          </c:xVal>
          <c:yVal>
            <c:numRef>
              <c:f>yantabulla!$N$2:$N$13</c:f>
              <c:numCache>
                <c:formatCode>General</c:formatCode>
                <c:ptCount val="12"/>
                <c:pt idx="0">
                  <c:v>83008</c:v>
                </c:pt>
                <c:pt idx="6">
                  <c:v>1900</c:v>
                </c:pt>
                <c:pt idx="9">
                  <c:v>2</c:v>
                </c:pt>
                <c:pt idx="10">
                  <c:v>7839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AE-4133-8DD7-FAEEA07E2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327952"/>
        <c:axId val="1923436144"/>
      </c:scatterChart>
      <c:valAx>
        <c:axId val="165932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436144"/>
        <c:crosses val="autoZero"/>
        <c:crossBetween val="midCat"/>
      </c:valAx>
      <c:valAx>
        <c:axId val="192343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32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wyandra 6mos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yantabulla!$N$1</c:f>
              <c:strCache>
                <c:ptCount val="1"/>
                <c:pt idx="0">
                  <c:v>Yantabulla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yantabulla!$G$2:$G$13</c:f>
              <c:numCache>
                <c:formatCode>General</c:formatCode>
                <c:ptCount val="12"/>
                <c:pt idx="0">
                  <c:v>6633.46</c:v>
                </c:pt>
                <c:pt idx="4">
                  <c:v>5064.93</c:v>
                </c:pt>
                <c:pt idx="5">
                  <c:v>2779.08</c:v>
                </c:pt>
                <c:pt idx="6">
                  <c:v>449082.05</c:v>
                </c:pt>
                <c:pt idx="8">
                  <c:v>3081.6</c:v>
                </c:pt>
                <c:pt idx="9">
                  <c:v>25504.68</c:v>
                </c:pt>
                <c:pt idx="10">
                  <c:v>1301.3699999999999</c:v>
                </c:pt>
              </c:numCache>
            </c:numRef>
          </c:xVal>
          <c:yVal>
            <c:numRef>
              <c:f>yantabulla!$N$2:$N$13</c:f>
              <c:numCache>
                <c:formatCode>General</c:formatCode>
                <c:ptCount val="12"/>
                <c:pt idx="0">
                  <c:v>83008</c:v>
                </c:pt>
                <c:pt idx="6">
                  <c:v>1900</c:v>
                </c:pt>
                <c:pt idx="9">
                  <c:v>2</c:v>
                </c:pt>
                <c:pt idx="10">
                  <c:v>7839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EF-45B7-AE53-FE3F8969A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385664"/>
        <c:axId val="1019386912"/>
      </c:scatterChart>
      <c:valAx>
        <c:axId val="101938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386912"/>
        <c:crosses val="autoZero"/>
        <c:crossBetween val="midCat"/>
      </c:valAx>
      <c:valAx>
        <c:axId val="101938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38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yantabulla!$N$1</c:f>
              <c:strCache>
                <c:ptCount val="1"/>
                <c:pt idx="0">
                  <c:v>Yantabulla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yantabulla!$H$2:$H$13</c:f>
              <c:numCache>
                <c:formatCode>General</c:formatCode>
                <c:ptCount val="12"/>
                <c:pt idx="0">
                  <c:v>2152277.48</c:v>
                </c:pt>
                <c:pt idx="4">
                  <c:v>12880.09</c:v>
                </c:pt>
                <c:pt idx="5">
                  <c:v>130842.14</c:v>
                </c:pt>
                <c:pt idx="6">
                  <c:v>525285.65</c:v>
                </c:pt>
                <c:pt idx="7">
                  <c:v>9718.51</c:v>
                </c:pt>
                <c:pt idx="8">
                  <c:v>91511.6</c:v>
                </c:pt>
                <c:pt idx="9">
                  <c:v>420966.23</c:v>
                </c:pt>
                <c:pt idx="10">
                  <c:v>1290927.78</c:v>
                </c:pt>
              </c:numCache>
            </c:numRef>
          </c:xVal>
          <c:yVal>
            <c:numRef>
              <c:f>yantabulla!$N$2:$N$13</c:f>
              <c:numCache>
                <c:formatCode>General</c:formatCode>
                <c:ptCount val="12"/>
                <c:pt idx="0">
                  <c:v>83008</c:v>
                </c:pt>
                <c:pt idx="6">
                  <c:v>1900</c:v>
                </c:pt>
                <c:pt idx="9">
                  <c:v>2</c:v>
                </c:pt>
                <c:pt idx="10">
                  <c:v>7839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A1-4D22-AC4C-03F1CFA28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4452240"/>
        <c:axId val="2004441424"/>
      </c:scatterChart>
      <c:valAx>
        <c:axId val="200445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441424"/>
        <c:crosses val="autoZero"/>
        <c:crossBetween val="midCat"/>
      </c:valAx>
      <c:valAx>
        <c:axId val="200444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452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turra 3 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yantabulla!$N$1</c:f>
              <c:strCache>
                <c:ptCount val="1"/>
                <c:pt idx="0">
                  <c:v>Yantabulla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yantabulla!$J$2:$J$13</c:f>
              <c:numCache>
                <c:formatCode>General</c:formatCode>
                <c:ptCount val="12"/>
                <c:pt idx="0">
                  <c:v>22895.58</c:v>
                </c:pt>
                <c:pt idx="6">
                  <c:v>101490.9</c:v>
                </c:pt>
                <c:pt idx="10">
                  <c:v>282.81</c:v>
                </c:pt>
              </c:numCache>
            </c:numRef>
          </c:xVal>
          <c:yVal>
            <c:numRef>
              <c:f>yantabulla!$N$2:$N$13</c:f>
              <c:numCache>
                <c:formatCode>General</c:formatCode>
                <c:ptCount val="12"/>
                <c:pt idx="0">
                  <c:v>83008</c:v>
                </c:pt>
                <c:pt idx="6">
                  <c:v>1900</c:v>
                </c:pt>
                <c:pt idx="9">
                  <c:v>2</c:v>
                </c:pt>
                <c:pt idx="10">
                  <c:v>7839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B4-44D2-ACEE-DAFFE7BA3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4040848"/>
        <c:axId val="2004050000"/>
      </c:scatterChart>
      <c:valAx>
        <c:axId val="200404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050000"/>
        <c:crosses val="autoZero"/>
        <c:crossBetween val="midCat"/>
      </c:valAx>
      <c:valAx>
        <c:axId val="200405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040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turra 6 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yantabulla!$N$1</c:f>
              <c:strCache>
                <c:ptCount val="1"/>
                <c:pt idx="0">
                  <c:v>Yantabulla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yantabulla!$K$2:$K$13</c:f>
              <c:numCache>
                <c:formatCode>General</c:formatCode>
                <c:ptCount val="12"/>
                <c:pt idx="0">
                  <c:v>23885.84</c:v>
                </c:pt>
                <c:pt idx="6">
                  <c:v>117870.87</c:v>
                </c:pt>
                <c:pt idx="9">
                  <c:v>30898.77</c:v>
                </c:pt>
                <c:pt idx="10">
                  <c:v>1571.61</c:v>
                </c:pt>
              </c:numCache>
            </c:numRef>
          </c:xVal>
          <c:yVal>
            <c:numRef>
              <c:f>yantabulla!$N$2:$N$13</c:f>
              <c:numCache>
                <c:formatCode>General</c:formatCode>
                <c:ptCount val="12"/>
                <c:pt idx="0">
                  <c:v>83008</c:v>
                </c:pt>
                <c:pt idx="6">
                  <c:v>1900</c:v>
                </c:pt>
                <c:pt idx="9">
                  <c:v>2</c:v>
                </c:pt>
                <c:pt idx="10">
                  <c:v>7839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F1-4615-863D-F64CF32BB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715216"/>
        <c:axId val="1992722704"/>
      </c:scatterChart>
      <c:valAx>
        <c:axId val="199271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722704"/>
        <c:crosses val="autoZero"/>
        <c:crossBetween val="midCat"/>
      </c:valAx>
      <c:valAx>
        <c:axId val="19927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715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turra 12 mos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yantabulla!$N$1</c:f>
              <c:strCache>
                <c:ptCount val="1"/>
                <c:pt idx="0">
                  <c:v>Yantabulla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yantabulla!$L$2:$L$13</c:f>
              <c:numCache>
                <c:formatCode>General</c:formatCode>
                <c:ptCount val="12"/>
                <c:pt idx="0">
                  <c:v>808051.98</c:v>
                </c:pt>
                <c:pt idx="6">
                  <c:v>126548.42</c:v>
                </c:pt>
                <c:pt idx="9">
                  <c:v>104122.42</c:v>
                </c:pt>
                <c:pt idx="10">
                  <c:v>422907.9</c:v>
                </c:pt>
              </c:numCache>
            </c:numRef>
          </c:xVal>
          <c:yVal>
            <c:numRef>
              <c:f>yantabulla!$N$2:$N$13</c:f>
              <c:numCache>
                <c:formatCode>General</c:formatCode>
                <c:ptCount val="12"/>
                <c:pt idx="0">
                  <c:v>83008</c:v>
                </c:pt>
                <c:pt idx="6">
                  <c:v>1900</c:v>
                </c:pt>
                <c:pt idx="9">
                  <c:v>2</c:v>
                </c:pt>
                <c:pt idx="10">
                  <c:v>7839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39-4BCE-A5F6-EAE7A4DF0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172752"/>
        <c:axId val="1641166512"/>
      </c:scatterChart>
      <c:valAx>
        <c:axId val="164117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166512"/>
        <c:crosses val="autoZero"/>
        <c:crossBetween val="midCat"/>
      </c:valAx>
      <c:valAx>
        <c:axId val="164116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172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12" Type="http://schemas.openxmlformats.org/officeDocument/2006/relationships/chart" Target="../charts/chart34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11" Type="http://schemas.openxmlformats.org/officeDocument/2006/relationships/chart" Target="../charts/chart33.xml"/><Relationship Id="rId5" Type="http://schemas.openxmlformats.org/officeDocument/2006/relationships/chart" Target="../charts/chart27.xml"/><Relationship Id="rId10" Type="http://schemas.openxmlformats.org/officeDocument/2006/relationships/chart" Target="../charts/chart32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Relationship Id="rId6" Type="http://schemas.openxmlformats.org/officeDocument/2006/relationships/chart" Target="../charts/chart40.xml"/><Relationship Id="rId5" Type="http://schemas.openxmlformats.org/officeDocument/2006/relationships/chart" Target="../charts/chart39.xml"/><Relationship Id="rId4" Type="http://schemas.openxmlformats.org/officeDocument/2006/relationships/chart" Target="../charts/chart3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Relationship Id="rId6" Type="http://schemas.openxmlformats.org/officeDocument/2006/relationships/chart" Target="../charts/chart52.xml"/><Relationship Id="rId5" Type="http://schemas.openxmlformats.org/officeDocument/2006/relationships/chart" Target="../charts/chart51.xml"/><Relationship Id="rId4" Type="http://schemas.openxmlformats.org/officeDocument/2006/relationships/chart" Target="../charts/chart5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6" Type="http://schemas.openxmlformats.org/officeDocument/2006/relationships/chart" Target="../charts/chart61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4.xml"/><Relationship Id="rId2" Type="http://schemas.openxmlformats.org/officeDocument/2006/relationships/chart" Target="../charts/chart63.xml"/><Relationship Id="rId1" Type="http://schemas.openxmlformats.org/officeDocument/2006/relationships/chart" Target="../charts/chart62.xml"/><Relationship Id="rId6" Type="http://schemas.openxmlformats.org/officeDocument/2006/relationships/chart" Target="../charts/chart67.xml"/><Relationship Id="rId5" Type="http://schemas.openxmlformats.org/officeDocument/2006/relationships/chart" Target="../charts/chart66.xml"/><Relationship Id="rId4" Type="http://schemas.openxmlformats.org/officeDocument/2006/relationships/chart" Target="../charts/chart65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0.xml"/><Relationship Id="rId2" Type="http://schemas.openxmlformats.org/officeDocument/2006/relationships/chart" Target="../charts/chart69.xml"/><Relationship Id="rId1" Type="http://schemas.openxmlformats.org/officeDocument/2006/relationships/chart" Target="../charts/chart68.xml"/><Relationship Id="rId6" Type="http://schemas.openxmlformats.org/officeDocument/2006/relationships/chart" Target="../charts/chart73.xml"/><Relationship Id="rId5" Type="http://schemas.openxmlformats.org/officeDocument/2006/relationships/chart" Target="../charts/chart72.xml"/><Relationship Id="rId4" Type="http://schemas.openxmlformats.org/officeDocument/2006/relationships/chart" Target="../charts/chart7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3810</xdr:rowOff>
    </xdr:from>
    <xdr:to>
      <xdr:col>7</xdr:col>
      <xdr:colOff>304800</xdr:colOff>
      <xdr:row>29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9D2A58-ED9D-4F31-94AF-EC8749CCE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312420</xdr:colOff>
      <xdr:row>15</xdr:row>
      <xdr:rowOff>3810</xdr:rowOff>
    </xdr:from>
    <xdr:to>
      <xdr:col>16</xdr:col>
      <xdr:colOff>7620</xdr:colOff>
      <xdr:row>29</xdr:row>
      <xdr:rowOff>179070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59DA31-A510-4425-BF94-96B2B56BC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15</xdr:row>
      <xdr:rowOff>34290</xdr:rowOff>
    </xdr:from>
    <xdr:to>
      <xdr:col>23</xdr:col>
      <xdr:colOff>381000</xdr:colOff>
      <xdr:row>30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4628D8-AAE4-45B2-BF79-5B71FA911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29</xdr:row>
      <xdr:rowOff>129540</xdr:rowOff>
    </xdr:from>
    <xdr:to>
      <xdr:col>7</xdr:col>
      <xdr:colOff>304800</xdr:colOff>
      <xdr:row>44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A5B087-F1AB-449F-B905-020A7F8D6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304800</xdr:colOff>
      <xdr:row>29</xdr:row>
      <xdr:rowOff>129540</xdr:rowOff>
    </xdr:from>
    <xdr:to>
      <xdr:col>16</xdr:col>
      <xdr:colOff>0</xdr:colOff>
      <xdr:row>44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860D13-F29A-43A8-93D1-4B7C2D7E6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15240</xdr:colOff>
      <xdr:row>29</xdr:row>
      <xdr:rowOff>137160</xdr:rowOff>
    </xdr:from>
    <xdr:to>
      <xdr:col>23</xdr:col>
      <xdr:colOff>320040</xdr:colOff>
      <xdr:row>44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808C36-5A8C-4249-8A7D-D41FDB8E5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44</xdr:row>
      <xdr:rowOff>137160</xdr:rowOff>
    </xdr:from>
    <xdr:to>
      <xdr:col>7</xdr:col>
      <xdr:colOff>304800</xdr:colOff>
      <xdr:row>59</xdr:row>
      <xdr:rowOff>137160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74AD502-5A51-4313-B74C-58454C51D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320040</xdr:colOff>
      <xdr:row>44</xdr:row>
      <xdr:rowOff>129540</xdr:rowOff>
    </xdr:from>
    <xdr:to>
      <xdr:col>16</xdr:col>
      <xdr:colOff>15240</xdr:colOff>
      <xdr:row>59</xdr:row>
      <xdr:rowOff>129540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02DDAB4-AA46-4D13-B548-975623B6E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22860</xdr:colOff>
      <xdr:row>44</xdr:row>
      <xdr:rowOff>144780</xdr:rowOff>
    </xdr:from>
    <xdr:to>
      <xdr:col>23</xdr:col>
      <xdr:colOff>327660</xdr:colOff>
      <xdr:row>59</xdr:row>
      <xdr:rowOff>144780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180F6BD-187B-47CF-80D4-F1CB97A91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396240</xdr:colOff>
      <xdr:row>15</xdr:row>
      <xdr:rowOff>53340</xdr:rowOff>
    </xdr:from>
    <xdr:to>
      <xdr:col>31</xdr:col>
      <xdr:colOff>91440</xdr:colOff>
      <xdr:row>30</xdr:row>
      <xdr:rowOff>45720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9547BA2-2FF3-4543-8E9B-17D1BC805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12</xdr:row>
      <xdr:rowOff>80010</xdr:rowOff>
    </xdr:from>
    <xdr:to>
      <xdr:col>7</xdr:col>
      <xdr:colOff>30480</xdr:colOff>
      <xdr:row>27</xdr:row>
      <xdr:rowOff>72390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F1E0BC-61BB-481E-B3CF-79B304F71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137160</xdr:colOff>
      <xdr:row>27</xdr:row>
      <xdr:rowOff>91440</xdr:rowOff>
    </xdr:from>
    <xdr:to>
      <xdr:col>7</xdr:col>
      <xdr:colOff>76200</xdr:colOff>
      <xdr:row>42</xdr:row>
      <xdr:rowOff>91440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0F4364F-AC5B-4520-AD7F-CC8AD66A7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45720</xdr:colOff>
      <xdr:row>12</xdr:row>
      <xdr:rowOff>72390</xdr:rowOff>
    </xdr:from>
    <xdr:to>
      <xdr:col>14</xdr:col>
      <xdr:colOff>350520</xdr:colOff>
      <xdr:row>27</xdr:row>
      <xdr:rowOff>64770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01CF683-3585-4395-98F5-0C1D29FD0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</xdr:colOff>
      <xdr:row>27</xdr:row>
      <xdr:rowOff>91440</xdr:rowOff>
    </xdr:from>
    <xdr:to>
      <xdr:col>14</xdr:col>
      <xdr:colOff>381000</xdr:colOff>
      <xdr:row>42</xdr:row>
      <xdr:rowOff>91440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4DC5434-0E69-480C-BE13-418AF5EBB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335280</xdr:colOff>
      <xdr:row>12</xdr:row>
      <xdr:rowOff>41910</xdr:rowOff>
    </xdr:from>
    <xdr:to>
      <xdr:col>22</xdr:col>
      <xdr:colOff>30480</xdr:colOff>
      <xdr:row>27</xdr:row>
      <xdr:rowOff>34290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D9764FB-814A-440D-912B-C5095C38C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403860</xdr:colOff>
      <xdr:row>27</xdr:row>
      <xdr:rowOff>91440</xdr:rowOff>
    </xdr:from>
    <xdr:to>
      <xdr:col>22</xdr:col>
      <xdr:colOff>99060</xdr:colOff>
      <xdr:row>42</xdr:row>
      <xdr:rowOff>91440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F9312C1-7602-4D08-BD63-4DA923434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</xdr:colOff>
      <xdr:row>0</xdr:row>
      <xdr:rowOff>26670</xdr:rowOff>
    </xdr:from>
    <xdr:to>
      <xdr:col>20</xdr:col>
      <xdr:colOff>396240</xdr:colOff>
      <xdr:row>12</xdr:row>
      <xdr:rowOff>125730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FFD7103-81E7-4BD2-A471-833B6FA26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15240</xdr:colOff>
      <xdr:row>12</xdr:row>
      <xdr:rowOff>137160</xdr:rowOff>
    </xdr:from>
    <xdr:to>
      <xdr:col>20</xdr:col>
      <xdr:colOff>388620</xdr:colOff>
      <xdr:row>27</xdr:row>
      <xdr:rowOff>83820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AF092F2-B822-4B1E-A915-80E0FE811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396240</xdr:colOff>
      <xdr:row>0</xdr:row>
      <xdr:rowOff>26670</xdr:rowOff>
    </xdr:from>
    <xdr:to>
      <xdr:col>26</xdr:col>
      <xdr:colOff>99060</xdr:colOff>
      <xdr:row>12</xdr:row>
      <xdr:rowOff>125730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C5325AE-D006-4298-BD02-ACBE159B2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457200</xdr:colOff>
      <xdr:row>12</xdr:row>
      <xdr:rowOff>152400</xdr:rowOff>
    </xdr:from>
    <xdr:to>
      <xdr:col>26</xdr:col>
      <xdr:colOff>160020</xdr:colOff>
      <xdr:row>27</xdr:row>
      <xdr:rowOff>99060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AFF5DBF-6EBA-4989-AA82-08F1DE02D6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99060</xdr:colOff>
      <xdr:row>0</xdr:row>
      <xdr:rowOff>34290</xdr:rowOff>
    </xdr:from>
    <xdr:to>
      <xdr:col>31</xdr:col>
      <xdr:colOff>388620</xdr:colOff>
      <xdr:row>12</xdr:row>
      <xdr:rowOff>133350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D078C1B-D18B-42E0-8E24-8077D5DAD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198120</xdr:colOff>
      <xdr:row>12</xdr:row>
      <xdr:rowOff>114300</xdr:rowOff>
    </xdr:from>
    <xdr:to>
      <xdr:col>31</xdr:col>
      <xdr:colOff>487680</xdr:colOff>
      <xdr:row>27</xdr:row>
      <xdr:rowOff>60960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3A781E3-EA7D-4792-8A22-AC726487D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12</xdr:row>
      <xdr:rowOff>3810</xdr:rowOff>
    </xdr:from>
    <xdr:to>
      <xdr:col>5</xdr:col>
      <xdr:colOff>480060</xdr:colOff>
      <xdr:row>24</xdr:row>
      <xdr:rowOff>38100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32499231-66FB-41ED-985C-892812C46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53340</xdr:rowOff>
    </xdr:from>
    <xdr:to>
      <xdr:col>5</xdr:col>
      <xdr:colOff>464820</xdr:colOff>
      <xdr:row>36</xdr:row>
      <xdr:rowOff>95250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36E83AB-FB7D-4737-A185-8967E540E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472440</xdr:colOff>
      <xdr:row>12</xdr:row>
      <xdr:rowOff>3810</xdr:rowOff>
    </xdr:from>
    <xdr:to>
      <xdr:col>10</xdr:col>
      <xdr:colOff>480060</xdr:colOff>
      <xdr:row>24</xdr:row>
      <xdr:rowOff>22860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F192DEC3-487E-4816-BFB6-B6477D599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480060</xdr:colOff>
      <xdr:row>24</xdr:row>
      <xdr:rowOff>45720</xdr:rowOff>
    </xdr:from>
    <xdr:to>
      <xdr:col>10</xdr:col>
      <xdr:colOff>487680</xdr:colOff>
      <xdr:row>36</xdr:row>
      <xdr:rowOff>72390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CDA13D13-6BCB-4F02-A979-C49EF4E7E6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487680</xdr:colOff>
      <xdr:row>12</xdr:row>
      <xdr:rowOff>11430</xdr:rowOff>
    </xdr:from>
    <xdr:to>
      <xdr:col>15</xdr:col>
      <xdr:colOff>495300</xdr:colOff>
      <xdr:row>24</xdr:row>
      <xdr:rowOff>99060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56356E20-6660-46AA-959F-A0FBFD5B2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502920</xdr:colOff>
      <xdr:row>24</xdr:row>
      <xdr:rowOff>91440</xdr:rowOff>
    </xdr:from>
    <xdr:to>
      <xdr:col>15</xdr:col>
      <xdr:colOff>510540</xdr:colOff>
      <xdr:row>37</xdr:row>
      <xdr:rowOff>3810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6588D190-3765-416E-ABA1-765F2B694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525780</xdr:colOff>
      <xdr:row>12</xdr:row>
      <xdr:rowOff>19050</xdr:rowOff>
    </xdr:from>
    <xdr:to>
      <xdr:col>21</xdr:col>
      <xdr:colOff>91440</xdr:colOff>
      <xdr:row>24</xdr:row>
      <xdr:rowOff>60960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154A42B6-F271-48BD-A0CE-3F36D1345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502920</xdr:colOff>
      <xdr:row>24</xdr:row>
      <xdr:rowOff>91440</xdr:rowOff>
    </xdr:from>
    <xdr:to>
      <xdr:col>21</xdr:col>
      <xdr:colOff>68580</xdr:colOff>
      <xdr:row>36</xdr:row>
      <xdr:rowOff>140970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7733E231-50A8-4412-A34F-1C185BFF3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106680</xdr:colOff>
      <xdr:row>12</xdr:row>
      <xdr:rowOff>11430</xdr:rowOff>
    </xdr:from>
    <xdr:to>
      <xdr:col>26</xdr:col>
      <xdr:colOff>419100</xdr:colOff>
      <xdr:row>24</xdr:row>
      <xdr:rowOff>129540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63A83CCB-80D6-4D3D-BB3A-A4A166804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76200</xdr:colOff>
      <xdr:row>24</xdr:row>
      <xdr:rowOff>121920</xdr:rowOff>
    </xdr:from>
    <xdr:to>
      <xdr:col>26</xdr:col>
      <xdr:colOff>388620</xdr:colOff>
      <xdr:row>37</xdr:row>
      <xdr:rowOff>64770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B2929ADA-AF70-41FD-AFD5-22EBEF1B8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</xdr:col>
      <xdr:colOff>426720</xdr:colOff>
      <xdr:row>12</xdr:row>
      <xdr:rowOff>11430</xdr:rowOff>
    </xdr:from>
    <xdr:to>
      <xdr:col>32</xdr:col>
      <xdr:colOff>213360</xdr:colOff>
      <xdr:row>24</xdr:row>
      <xdr:rowOff>144780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E64BCD49-2B13-4660-BBC3-2A401C047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</xdr:col>
      <xdr:colOff>449580</xdr:colOff>
      <xdr:row>24</xdr:row>
      <xdr:rowOff>114300</xdr:rowOff>
    </xdr:from>
    <xdr:to>
      <xdr:col>32</xdr:col>
      <xdr:colOff>236220</xdr:colOff>
      <xdr:row>37</xdr:row>
      <xdr:rowOff>72390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DE03A003-EA7D-4CED-9037-3A53F01BB7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</xdr:colOff>
      <xdr:row>0</xdr:row>
      <xdr:rowOff>0</xdr:rowOff>
    </xdr:from>
    <xdr:to>
      <xdr:col>18</xdr:col>
      <xdr:colOff>114300</xdr:colOff>
      <xdr:row>10</xdr:row>
      <xdr:rowOff>110490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8242D2B-75D9-4B89-8734-027C6E7D4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53340</xdr:colOff>
      <xdr:row>10</xdr:row>
      <xdr:rowOff>129540</xdr:rowOff>
    </xdr:from>
    <xdr:to>
      <xdr:col>18</xdr:col>
      <xdr:colOff>160020</xdr:colOff>
      <xdr:row>23</xdr:row>
      <xdr:rowOff>26670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32E062F-4E57-49E6-9FCE-E9728D939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129540</xdr:colOff>
      <xdr:row>0</xdr:row>
      <xdr:rowOff>0</xdr:rowOff>
    </xdr:from>
    <xdr:to>
      <xdr:col>23</xdr:col>
      <xdr:colOff>243840</xdr:colOff>
      <xdr:row>10</xdr:row>
      <xdr:rowOff>114300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155C7E7-5535-46CD-968F-FD35802CDA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121920</xdr:colOff>
      <xdr:row>10</xdr:row>
      <xdr:rowOff>83820</xdr:rowOff>
    </xdr:from>
    <xdr:to>
      <xdr:col>23</xdr:col>
      <xdr:colOff>236220</xdr:colOff>
      <xdr:row>22</xdr:row>
      <xdr:rowOff>167640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69843A3-7061-4AA4-AAF2-9DD91EDEC5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251460</xdr:colOff>
      <xdr:row>0</xdr:row>
      <xdr:rowOff>0</xdr:rowOff>
    </xdr:from>
    <xdr:to>
      <xdr:col>28</xdr:col>
      <xdr:colOff>182880</xdr:colOff>
      <xdr:row>10</xdr:row>
      <xdr:rowOff>76200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DC32E71-B5A0-4AD4-8C2C-DE3F506AD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236220</xdr:colOff>
      <xdr:row>10</xdr:row>
      <xdr:rowOff>76200</xdr:rowOff>
    </xdr:from>
    <xdr:to>
      <xdr:col>28</xdr:col>
      <xdr:colOff>167640</xdr:colOff>
      <xdr:row>22</xdr:row>
      <xdr:rowOff>121920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BD11E76-0744-423B-B6D2-96440C34B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0</xdr:rowOff>
    </xdr:from>
    <xdr:to>
      <xdr:col>17</xdr:col>
      <xdr:colOff>441960</xdr:colOff>
      <xdr:row>11</xdr:row>
      <xdr:rowOff>144780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4D047AD-4F80-4035-85C8-71DB1DCCE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7620</xdr:colOff>
      <xdr:row>11</xdr:row>
      <xdr:rowOff>129540</xdr:rowOff>
    </xdr:from>
    <xdr:to>
      <xdr:col>17</xdr:col>
      <xdr:colOff>449580</xdr:colOff>
      <xdr:row>25</xdr:row>
      <xdr:rowOff>91440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B18CD83-0CBF-4B0C-A0ED-2A267C0C1E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441960</xdr:colOff>
      <xdr:row>0</xdr:row>
      <xdr:rowOff>0</xdr:rowOff>
    </xdr:from>
    <xdr:to>
      <xdr:col>23</xdr:col>
      <xdr:colOff>266700</xdr:colOff>
      <xdr:row>11</xdr:row>
      <xdr:rowOff>137160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EFD2E92-D128-4F20-8E52-245C318C0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457200</xdr:colOff>
      <xdr:row>11</xdr:row>
      <xdr:rowOff>144780</xdr:rowOff>
    </xdr:from>
    <xdr:to>
      <xdr:col>23</xdr:col>
      <xdr:colOff>281940</xdr:colOff>
      <xdr:row>25</xdr:row>
      <xdr:rowOff>99060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7AF4D18-46FF-40C1-85F2-F109D9B36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274320</xdr:colOff>
      <xdr:row>0</xdr:row>
      <xdr:rowOff>3810</xdr:rowOff>
    </xdr:from>
    <xdr:to>
      <xdr:col>28</xdr:col>
      <xdr:colOff>579120</xdr:colOff>
      <xdr:row>11</xdr:row>
      <xdr:rowOff>137160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E7999032-3B50-4119-BA95-5A8CB290B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312420</xdr:colOff>
      <xdr:row>11</xdr:row>
      <xdr:rowOff>129540</xdr:rowOff>
    </xdr:from>
    <xdr:to>
      <xdr:col>29</xdr:col>
      <xdr:colOff>7620</xdr:colOff>
      <xdr:row>25</xdr:row>
      <xdr:rowOff>80010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1C71E39-F12D-4A28-A618-CCEDE8D49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0</xdr:row>
      <xdr:rowOff>11430</xdr:rowOff>
    </xdr:from>
    <xdr:to>
      <xdr:col>15</xdr:col>
      <xdr:colOff>548640</xdr:colOff>
      <xdr:row>11</xdr:row>
      <xdr:rowOff>22860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BCD67B6-DBB0-433F-A3D1-E5EEBA9031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533400</xdr:colOff>
      <xdr:row>0</xdr:row>
      <xdr:rowOff>0</xdr:rowOff>
    </xdr:from>
    <xdr:to>
      <xdr:col>21</xdr:col>
      <xdr:colOff>457200</xdr:colOff>
      <xdr:row>11</xdr:row>
      <xdr:rowOff>11430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5BB93F1-0621-4791-A88D-970B6D48F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15240</xdr:colOff>
      <xdr:row>11</xdr:row>
      <xdr:rowOff>11430</xdr:rowOff>
    </xdr:from>
    <xdr:to>
      <xdr:col>15</xdr:col>
      <xdr:colOff>556260</xdr:colOff>
      <xdr:row>24</xdr:row>
      <xdr:rowOff>15240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0C713EF-193E-42D3-9AF7-2943AFC9F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541020</xdr:colOff>
      <xdr:row>11</xdr:row>
      <xdr:rowOff>7620</xdr:rowOff>
    </xdr:from>
    <xdr:to>
      <xdr:col>21</xdr:col>
      <xdr:colOff>472440</xdr:colOff>
      <xdr:row>24</xdr:row>
      <xdr:rowOff>11430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C331CBC-CA90-4E86-917B-EFB82C6D3D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15240</xdr:colOff>
      <xdr:row>23</xdr:row>
      <xdr:rowOff>163830</xdr:rowOff>
    </xdr:from>
    <xdr:to>
      <xdr:col>15</xdr:col>
      <xdr:colOff>541020</xdr:colOff>
      <xdr:row>36</xdr:row>
      <xdr:rowOff>167640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7D50342-4EAD-41B3-B02E-9687F45FF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541020</xdr:colOff>
      <xdr:row>23</xdr:row>
      <xdr:rowOff>167640</xdr:rowOff>
    </xdr:from>
    <xdr:to>
      <xdr:col>21</xdr:col>
      <xdr:colOff>457200</xdr:colOff>
      <xdr:row>36</xdr:row>
      <xdr:rowOff>171450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FA467C5-00BB-41C5-BC71-34E52670D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99060</xdr:colOff>
      <xdr:row>0</xdr:row>
      <xdr:rowOff>87630</xdr:rowOff>
    </xdr:from>
    <xdr:to>
      <xdr:col>17</xdr:col>
      <xdr:colOff>403860</xdr:colOff>
      <xdr:row>12</xdr:row>
      <xdr:rowOff>118110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51A645-B5B5-4F6D-9960-8DE58934B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</xdr:colOff>
      <xdr:row>12</xdr:row>
      <xdr:rowOff>125730</xdr:rowOff>
    </xdr:from>
    <xdr:to>
      <xdr:col>17</xdr:col>
      <xdr:colOff>320040</xdr:colOff>
      <xdr:row>27</xdr:row>
      <xdr:rowOff>118110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FDE526C-B8F8-420F-85F5-79DACEFF5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403860</xdr:colOff>
      <xdr:row>6</xdr:row>
      <xdr:rowOff>194310</xdr:rowOff>
    </xdr:from>
    <xdr:to>
      <xdr:col>25</xdr:col>
      <xdr:colOff>99060</xdr:colOff>
      <xdr:row>21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45BB34C-27CD-471B-86FB-8ED432F55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12</xdr:row>
      <xdr:rowOff>0</xdr:rowOff>
    </xdr:from>
    <xdr:to>
      <xdr:col>13</xdr:col>
      <xdr:colOff>358140</xdr:colOff>
      <xdr:row>23</xdr:row>
      <xdr:rowOff>91440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3CF91D3-96CE-41CA-B794-2F147C3DA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350520</xdr:colOff>
      <xdr:row>11</xdr:row>
      <xdr:rowOff>190500</xdr:rowOff>
    </xdr:from>
    <xdr:to>
      <xdr:col>19</xdr:col>
      <xdr:colOff>320040</xdr:colOff>
      <xdr:row>23</xdr:row>
      <xdr:rowOff>83820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269F9F2-8F78-4965-AC71-B35150AE6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495300</xdr:colOff>
      <xdr:row>23</xdr:row>
      <xdr:rowOff>87630</xdr:rowOff>
    </xdr:from>
    <xdr:to>
      <xdr:col>13</xdr:col>
      <xdr:colOff>358140</xdr:colOff>
      <xdr:row>35</xdr:row>
      <xdr:rowOff>114300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7E963FC-1E49-496F-A3B6-9FFDF6B84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358140</xdr:colOff>
      <xdr:row>23</xdr:row>
      <xdr:rowOff>99060</xdr:rowOff>
    </xdr:from>
    <xdr:to>
      <xdr:col>19</xdr:col>
      <xdr:colOff>327660</xdr:colOff>
      <xdr:row>35</xdr:row>
      <xdr:rowOff>125730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D385882-BF27-4DAA-8D87-658F41704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495300</xdr:colOff>
      <xdr:row>35</xdr:row>
      <xdr:rowOff>118110</xdr:rowOff>
    </xdr:from>
    <xdr:to>
      <xdr:col>13</xdr:col>
      <xdr:colOff>358140</xdr:colOff>
      <xdr:row>48</xdr:row>
      <xdr:rowOff>45720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5B99BA5-7E5F-4E94-A7D2-46CF8A432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350520</xdr:colOff>
      <xdr:row>35</xdr:row>
      <xdr:rowOff>114300</xdr:rowOff>
    </xdr:from>
    <xdr:to>
      <xdr:col>19</xdr:col>
      <xdr:colOff>320040</xdr:colOff>
      <xdr:row>48</xdr:row>
      <xdr:rowOff>41910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51FE8F6-FEA4-4A0E-ADB1-4E26052F5C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373380</xdr:colOff>
      <xdr:row>0</xdr:row>
      <xdr:rowOff>0</xdr:rowOff>
    </xdr:from>
    <xdr:to>
      <xdr:col>15</xdr:col>
      <xdr:colOff>53340</xdr:colOff>
      <xdr:row>8</xdr:row>
      <xdr:rowOff>266700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3B7A60D-5473-4659-AF79-21FA9ED6F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0</xdr:row>
      <xdr:rowOff>0</xdr:rowOff>
    </xdr:from>
    <xdr:to>
      <xdr:col>20</xdr:col>
      <xdr:colOff>289560</xdr:colOff>
      <xdr:row>8</xdr:row>
      <xdr:rowOff>266700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C448ACA-80FE-4600-B0D0-8284D42374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388620</xdr:colOff>
      <xdr:row>8</xdr:row>
      <xdr:rowOff>255270</xdr:rowOff>
    </xdr:from>
    <xdr:to>
      <xdr:col>15</xdr:col>
      <xdr:colOff>7620</xdr:colOff>
      <xdr:row>20</xdr:row>
      <xdr:rowOff>114300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9B8F188-8ECD-488B-967F-E48C1725F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601980</xdr:colOff>
      <xdr:row>8</xdr:row>
      <xdr:rowOff>259080</xdr:rowOff>
    </xdr:from>
    <xdr:to>
      <xdr:col>20</xdr:col>
      <xdr:colOff>220980</xdr:colOff>
      <xdr:row>20</xdr:row>
      <xdr:rowOff>118110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64755FA-4DA5-4326-8FEC-910B241AA7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396240</xdr:colOff>
      <xdr:row>20</xdr:row>
      <xdr:rowOff>102870</xdr:rowOff>
    </xdr:from>
    <xdr:to>
      <xdr:col>15</xdr:col>
      <xdr:colOff>0</xdr:colOff>
      <xdr:row>33</xdr:row>
      <xdr:rowOff>22860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DB1D01A-C8B9-47BB-BA04-33788826E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20</xdr:row>
      <xdr:rowOff>106680</xdr:rowOff>
    </xdr:from>
    <xdr:to>
      <xdr:col>20</xdr:col>
      <xdr:colOff>213360</xdr:colOff>
      <xdr:row>33</xdr:row>
      <xdr:rowOff>26670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1CE9AB4-E14A-4745-86FA-14E708CBA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129540</xdr:colOff>
      <xdr:row>12</xdr:row>
      <xdr:rowOff>11430</xdr:rowOff>
    </xdr:from>
    <xdr:to>
      <xdr:col>13</xdr:col>
      <xdr:colOff>342900</xdr:colOff>
      <xdr:row>23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F9E9FE-83E1-4C3F-80E8-3AF55EA51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137160</xdr:colOff>
      <xdr:row>23</xdr:row>
      <xdr:rowOff>133350</xdr:rowOff>
    </xdr:from>
    <xdr:to>
      <xdr:col>13</xdr:col>
      <xdr:colOff>312420</xdr:colOff>
      <xdr:row>35</xdr:row>
      <xdr:rowOff>7620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D9F4D01-149E-46D4-B8B4-DDBE71BBA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137160</xdr:colOff>
      <xdr:row>35</xdr:row>
      <xdr:rowOff>3810</xdr:rowOff>
    </xdr:from>
    <xdr:to>
      <xdr:col>13</xdr:col>
      <xdr:colOff>304800</xdr:colOff>
      <xdr:row>46</xdr:row>
      <xdr:rowOff>114300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E7186AE-6CA5-468F-B40F-5A33B20D2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350520</xdr:colOff>
      <xdr:row>12</xdr:row>
      <xdr:rowOff>11430</xdr:rowOff>
    </xdr:from>
    <xdr:to>
      <xdr:col>19</xdr:col>
      <xdr:colOff>114300</xdr:colOff>
      <xdr:row>23</xdr:row>
      <xdr:rowOff>144780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4355CDC-8B5D-4B00-8BDE-7C4F45FDF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312420</xdr:colOff>
      <xdr:row>23</xdr:row>
      <xdr:rowOff>133350</xdr:rowOff>
    </xdr:from>
    <xdr:to>
      <xdr:col>19</xdr:col>
      <xdr:colOff>121920</xdr:colOff>
      <xdr:row>35</xdr:row>
      <xdr:rowOff>7620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DD4358F-E182-4527-A089-47155C0D2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297180</xdr:colOff>
      <xdr:row>34</xdr:row>
      <xdr:rowOff>179070</xdr:rowOff>
    </xdr:from>
    <xdr:to>
      <xdr:col>19</xdr:col>
      <xdr:colOff>114300</xdr:colOff>
      <xdr:row>46</xdr:row>
      <xdr:rowOff>137160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C88B4D1-E42A-44B9-94D0-A86766C6A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9C7C-D534-4C65-AC3C-65D06AAFA47C}">
  <dimension ref="A1:AG16"/>
  <sheetViews>
    <sheetView workbookViewId="0">
      <selection activeCell="M13" sqref="M13"/>
    </sheetView>
  </sheetViews>
  <sheetFormatPr defaultRowHeight="14.4" x14ac:dyDescent="0.3"/>
  <sheetData>
    <row r="1" spans="1:33" ht="72.599999999999994" thickBot="1" x14ac:dyDescent="0.35">
      <c r="A1" s="1" t="s">
        <v>106</v>
      </c>
      <c r="B1" s="2" t="s">
        <v>113</v>
      </c>
      <c r="C1" s="2" t="s">
        <v>126</v>
      </c>
      <c r="D1" s="2" t="s">
        <v>115</v>
      </c>
      <c r="E1" s="2" t="s">
        <v>4</v>
      </c>
      <c r="F1" s="2" t="s">
        <v>5</v>
      </c>
      <c r="G1" s="2" t="s">
        <v>6</v>
      </c>
      <c r="H1" s="2" t="s">
        <v>127</v>
      </c>
      <c r="I1" s="2" t="s">
        <v>118</v>
      </c>
      <c r="J1" s="2" t="s">
        <v>9</v>
      </c>
      <c r="K1" s="2" t="s">
        <v>10</v>
      </c>
      <c r="L1" s="17" t="s">
        <v>119</v>
      </c>
      <c r="N1" s="30" t="s">
        <v>88</v>
      </c>
      <c r="O1" s="30" t="s">
        <v>89</v>
      </c>
      <c r="P1" s="30" t="s">
        <v>90</v>
      </c>
      <c r="Q1" s="30" t="s">
        <v>91</v>
      </c>
      <c r="R1" s="30" t="s">
        <v>92</v>
      </c>
      <c r="S1" s="30" t="s">
        <v>93</v>
      </c>
      <c r="T1" s="30" t="s">
        <v>94</v>
      </c>
      <c r="U1" s="2" t="s">
        <v>95</v>
      </c>
      <c r="V1" s="31" t="s">
        <v>96</v>
      </c>
      <c r="W1" s="2" t="s">
        <v>97</v>
      </c>
      <c r="X1" s="31" t="s">
        <v>98</v>
      </c>
      <c r="Y1" s="2" t="s">
        <v>9</v>
      </c>
      <c r="Z1" s="31" t="s">
        <v>99</v>
      </c>
      <c r="AA1" s="2" t="s">
        <v>100</v>
      </c>
      <c r="AB1" s="31" t="s">
        <v>101</v>
      </c>
      <c r="AC1" s="2" t="s">
        <v>102</v>
      </c>
      <c r="AD1" s="31" t="s">
        <v>103</v>
      </c>
      <c r="AE1" s="2" t="s">
        <v>8</v>
      </c>
      <c r="AF1" s="31" t="s">
        <v>104</v>
      </c>
      <c r="AG1" s="2" t="s">
        <v>10</v>
      </c>
    </row>
    <row r="2" spans="1:33" ht="24" thickTop="1" thickBot="1" x14ac:dyDescent="0.35">
      <c r="A2" s="1">
        <v>2007</v>
      </c>
      <c r="B2" s="3"/>
      <c r="C2" s="5">
        <v>7466</v>
      </c>
      <c r="D2" s="3"/>
      <c r="E2" s="3"/>
      <c r="F2" s="5">
        <v>31411</v>
      </c>
      <c r="G2" s="6"/>
      <c r="H2" s="3"/>
      <c r="I2" s="3"/>
      <c r="J2" s="6"/>
      <c r="K2" s="3"/>
      <c r="L2" s="15"/>
      <c r="T2">
        <v>309.95999999999992</v>
      </c>
      <c r="U2" s="5">
        <v>31411</v>
      </c>
      <c r="V2">
        <v>260.60000000000002</v>
      </c>
      <c r="W2" s="5">
        <v>7466</v>
      </c>
      <c r="X2">
        <v>238.6</v>
      </c>
      <c r="Y2" s="6"/>
      <c r="AA2" s="3"/>
      <c r="AB2">
        <v>491.6</v>
      </c>
      <c r="AC2" s="3"/>
      <c r="AD2">
        <v>235.6</v>
      </c>
      <c r="AE2" s="3"/>
      <c r="AG2" s="3"/>
    </row>
    <row r="3" spans="1:33" ht="24" thickTop="1" thickBot="1" x14ac:dyDescent="0.35">
      <c r="A3" s="1">
        <v>2008</v>
      </c>
      <c r="B3" s="3"/>
      <c r="C3" s="5">
        <v>6320</v>
      </c>
      <c r="D3" s="3"/>
      <c r="E3" s="3"/>
      <c r="F3" s="5">
        <v>2682</v>
      </c>
      <c r="G3" s="6"/>
      <c r="H3" s="37"/>
      <c r="I3" s="3"/>
      <c r="J3" s="5">
        <v>5291</v>
      </c>
      <c r="K3" s="3"/>
      <c r="L3" s="15"/>
      <c r="N3">
        <v>235.5</v>
      </c>
      <c r="P3">
        <v>242.5</v>
      </c>
      <c r="R3">
        <v>302</v>
      </c>
      <c r="T3">
        <v>157.30909090909088</v>
      </c>
      <c r="U3" s="5">
        <v>2682</v>
      </c>
      <c r="V3">
        <v>189.81818181818178</v>
      </c>
      <c r="W3" s="5">
        <v>6320</v>
      </c>
      <c r="X3">
        <v>217.2</v>
      </c>
      <c r="Y3" s="5">
        <v>5291</v>
      </c>
      <c r="AA3" s="3"/>
      <c r="AB3">
        <v>568.20000000000005</v>
      </c>
      <c r="AC3" s="3"/>
      <c r="AD3">
        <v>251.4</v>
      </c>
      <c r="AE3" s="3"/>
      <c r="AG3" s="3"/>
    </row>
    <row r="4" spans="1:33" ht="24" thickTop="1" thickBot="1" x14ac:dyDescent="0.35">
      <c r="A4" s="1">
        <v>2009</v>
      </c>
      <c r="B4" s="3"/>
      <c r="C4" s="5">
        <v>22046</v>
      </c>
      <c r="D4" s="3"/>
      <c r="E4" s="3"/>
      <c r="F4" s="5">
        <v>640</v>
      </c>
      <c r="G4" s="6"/>
      <c r="H4" s="37"/>
      <c r="I4" s="3"/>
      <c r="J4" s="5">
        <v>15611</v>
      </c>
      <c r="K4" s="3"/>
      <c r="L4" s="15"/>
      <c r="N4">
        <v>257.39999999999998</v>
      </c>
      <c r="P4">
        <v>203</v>
      </c>
      <c r="R4">
        <v>182.7</v>
      </c>
      <c r="T4">
        <v>258.79999999999995</v>
      </c>
      <c r="U4" s="5">
        <v>640</v>
      </c>
      <c r="V4">
        <v>211.2</v>
      </c>
      <c r="W4" s="5">
        <v>22046</v>
      </c>
      <c r="X4">
        <v>227.5</v>
      </c>
      <c r="Y4" s="5">
        <v>15611</v>
      </c>
      <c r="AA4" s="3"/>
      <c r="AB4">
        <v>533.79999999999995</v>
      </c>
      <c r="AC4" s="3"/>
      <c r="AD4">
        <v>148.4</v>
      </c>
      <c r="AE4" s="3"/>
      <c r="AF4">
        <v>265</v>
      </c>
      <c r="AG4" s="3"/>
    </row>
    <row r="5" spans="1:33" ht="15.6" thickTop="1" thickBot="1" x14ac:dyDescent="0.35">
      <c r="A5" s="1">
        <v>2010</v>
      </c>
      <c r="B5" s="4">
        <v>389849</v>
      </c>
      <c r="C5" s="5">
        <v>5869</v>
      </c>
      <c r="D5" s="4">
        <v>2118</v>
      </c>
      <c r="E5" s="4">
        <v>8392</v>
      </c>
      <c r="F5" s="5">
        <v>480</v>
      </c>
      <c r="G5" s="5">
        <v>161848</v>
      </c>
      <c r="H5" s="4">
        <v>73884</v>
      </c>
      <c r="I5" s="4">
        <v>12021</v>
      </c>
      <c r="J5" s="5">
        <v>2579</v>
      </c>
      <c r="K5" s="4">
        <v>83008</v>
      </c>
      <c r="L5" s="12">
        <f>D5/SUM(B5:K5)*100</f>
        <v>0.28619765204419173</v>
      </c>
      <c r="N5">
        <v>670.3</v>
      </c>
      <c r="O5" s="5">
        <v>161848</v>
      </c>
      <c r="P5">
        <v>709.63636363636363</v>
      </c>
      <c r="Q5" s="4">
        <v>2118</v>
      </c>
      <c r="R5">
        <v>639.79999999999995</v>
      </c>
      <c r="S5" s="4">
        <v>389849</v>
      </c>
      <c r="T5">
        <v>493.2</v>
      </c>
      <c r="U5" s="5">
        <v>480</v>
      </c>
      <c r="V5">
        <v>521.20000000000005</v>
      </c>
      <c r="W5" s="5">
        <v>5869</v>
      </c>
      <c r="X5">
        <v>424</v>
      </c>
      <c r="Y5" s="5">
        <v>2579</v>
      </c>
      <c r="Z5">
        <v>713.6</v>
      </c>
      <c r="AA5" s="4">
        <v>8392</v>
      </c>
      <c r="AB5">
        <v>973.30909090909086</v>
      </c>
      <c r="AC5" s="4">
        <v>73884</v>
      </c>
      <c r="AD5">
        <v>591.4</v>
      </c>
      <c r="AE5" s="4">
        <v>12021</v>
      </c>
      <c r="AF5">
        <v>657.5</v>
      </c>
      <c r="AG5" s="4">
        <v>83008</v>
      </c>
    </row>
    <row r="6" spans="1:33" ht="24" thickTop="1" thickBot="1" x14ac:dyDescent="0.35">
      <c r="A6" s="1">
        <v>2011</v>
      </c>
      <c r="B6" s="4">
        <v>20293</v>
      </c>
      <c r="C6" s="5">
        <v>12508</v>
      </c>
      <c r="D6" s="4">
        <v>39194</v>
      </c>
      <c r="E6" s="4">
        <v>25352</v>
      </c>
      <c r="F6" s="5">
        <v>2625</v>
      </c>
      <c r="G6" s="5">
        <v>128883</v>
      </c>
      <c r="H6" s="4">
        <v>79660</v>
      </c>
      <c r="I6" s="4">
        <v>55801</v>
      </c>
      <c r="J6" s="5">
        <v>17558</v>
      </c>
      <c r="K6" s="3"/>
      <c r="L6" s="12">
        <f t="shared" ref="L6:L15" si="0">D6/SUM(B6:K6)*100</f>
        <v>10.263594798284251</v>
      </c>
      <c r="N6">
        <v>654.79999999999995</v>
      </c>
      <c r="O6" s="5">
        <v>128883</v>
      </c>
      <c r="P6">
        <v>494.6</v>
      </c>
      <c r="Q6" s="4">
        <v>39194</v>
      </c>
      <c r="R6">
        <v>464</v>
      </c>
      <c r="S6" s="4">
        <v>20293</v>
      </c>
      <c r="T6">
        <v>469.85454545454542</v>
      </c>
      <c r="U6" s="5">
        <v>2625</v>
      </c>
      <c r="V6">
        <v>483.6</v>
      </c>
      <c r="W6" s="5">
        <v>12508</v>
      </c>
      <c r="X6">
        <v>491.2</v>
      </c>
      <c r="Y6" s="5">
        <v>17558</v>
      </c>
      <c r="Z6">
        <v>953.2</v>
      </c>
      <c r="AA6" s="4">
        <v>25352</v>
      </c>
      <c r="AB6">
        <v>558.6</v>
      </c>
      <c r="AC6" s="4">
        <v>79660</v>
      </c>
      <c r="AD6">
        <v>457.2</v>
      </c>
      <c r="AE6" s="4">
        <v>55801</v>
      </c>
      <c r="AF6">
        <v>409</v>
      </c>
      <c r="AG6" s="3"/>
    </row>
    <row r="7" spans="1:33" ht="24" thickTop="1" thickBot="1" x14ac:dyDescent="0.35">
      <c r="A7" s="1">
        <v>2012</v>
      </c>
      <c r="B7" s="4">
        <v>36279</v>
      </c>
      <c r="C7" s="5">
        <v>30157</v>
      </c>
      <c r="D7" s="4">
        <v>30254</v>
      </c>
      <c r="E7" s="4">
        <v>7528</v>
      </c>
      <c r="F7" s="5">
        <v>1744</v>
      </c>
      <c r="G7" s="6"/>
      <c r="H7" s="4">
        <v>82041</v>
      </c>
      <c r="I7" s="3"/>
      <c r="J7" s="6"/>
      <c r="K7" s="3"/>
      <c r="L7" s="36">
        <f t="shared" si="0"/>
        <v>16.092296399525541</v>
      </c>
      <c r="N7">
        <v>306</v>
      </c>
      <c r="O7" s="6"/>
      <c r="P7">
        <v>350.8</v>
      </c>
      <c r="Q7" s="4">
        <v>30254</v>
      </c>
      <c r="R7">
        <v>450.8</v>
      </c>
      <c r="S7" s="4">
        <v>36279</v>
      </c>
      <c r="T7">
        <v>186.5</v>
      </c>
      <c r="U7" s="5">
        <v>1744</v>
      </c>
      <c r="V7">
        <v>200.6</v>
      </c>
      <c r="W7" s="5">
        <v>30157</v>
      </c>
      <c r="X7">
        <v>219.3</v>
      </c>
      <c r="Y7" s="6"/>
      <c r="Z7">
        <v>721.6</v>
      </c>
      <c r="AA7" s="4">
        <v>7528</v>
      </c>
      <c r="AB7">
        <v>494.2</v>
      </c>
      <c r="AC7" s="4">
        <v>82041</v>
      </c>
      <c r="AD7">
        <v>376.8</v>
      </c>
      <c r="AE7" s="3"/>
      <c r="AF7">
        <v>446</v>
      </c>
      <c r="AG7" s="3"/>
    </row>
    <row r="8" spans="1:33" ht="24" thickTop="1" thickBot="1" x14ac:dyDescent="0.35">
      <c r="A8" s="1">
        <v>2013</v>
      </c>
      <c r="B8" s="4">
        <v>5884</v>
      </c>
      <c r="C8" s="5">
        <v>7653</v>
      </c>
      <c r="D8" s="4">
        <v>7586</v>
      </c>
      <c r="E8" s="3"/>
      <c r="F8" s="5">
        <v>249</v>
      </c>
      <c r="G8" s="5">
        <v>28340</v>
      </c>
      <c r="H8" s="37">
        <v>8366</v>
      </c>
      <c r="I8" s="4">
        <v>120166</v>
      </c>
      <c r="J8" s="6"/>
      <c r="K8" s="3"/>
      <c r="L8" s="12">
        <f t="shared" si="0"/>
        <v>4.2559637351046877</v>
      </c>
      <c r="N8">
        <v>205.6</v>
      </c>
      <c r="O8" s="5">
        <v>28340</v>
      </c>
      <c r="P8">
        <v>210.1</v>
      </c>
      <c r="Q8" s="4">
        <v>7586</v>
      </c>
      <c r="R8">
        <v>250</v>
      </c>
      <c r="S8" s="4">
        <v>5884</v>
      </c>
      <c r="T8">
        <v>280</v>
      </c>
      <c r="U8" s="5">
        <v>249</v>
      </c>
      <c r="V8">
        <v>268</v>
      </c>
      <c r="W8" s="5">
        <v>7653</v>
      </c>
      <c r="X8">
        <v>243.7</v>
      </c>
      <c r="Y8" s="6"/>
      <c r="Z8">
        <v>565.79999999999995</v>
      </c>
      <c r="AA8" s="3"/>
      <c r="AB8">
        <v>327.2</v>
      </c>
      <c r="AC8" s="37">
        <v>8366</v>
      </c>
      <c r="AD8">
        <v>137.19999999999999</v>
      </c>
      <c r="AE8" s="4">
        <v>120166</v>
      </c>
      <c r="AF8">
        <v>159.5</v>
      </c>
      <c r="AG8" s="3"/>
    </row>
    <row r="9" spans="1:33" ht="24" thickTop="1" thickBot="1" x14ac:dyDescent="0.35">
      <c r="A9" s="1">
        <v>2014</v>
      </c>
      <c r="B9" s="4">
        <v>2221</v>
      </c>
      <c r="C9" s="5">
        <v>25183</v>
      </c>
      <c r="D9" s="4">
        <v>670</v>
      </c>
      <c r="E9" s="4">
        <v>2365</v>
      </c>
      <c r="F9" s="5">
        <v>3008</v>
      </c>
      <c r="G9" s="5">
        <v>8884</v>
      </c>
      <c r="H9" s="37">
        <v>6573</v>
      </c>
      <c r="I9" s="4">
        <v>2537</v>
      </c>
      <c r="J9" s="6"/>
      <c r="K9" s="3"/>
      <c r="L9" s="12">
        <f t="shared" si="0"/>
        <v>1.3024630158822728</v>
      </c>
      <c r="N9">
        <v>201.8</v>
      </c>
      <c r="O9" s="5">
        <v>8884</v>
      </c>
      <c r="P9">
        <v>194.6</v>
      </c>
      <c r="Q9" s="4">
        <v>670</v>
      </c>
      <c r="R9">
        <v>278.39999999999998</v>
      </c>
      <c r="S9" s="4">
        <v>2221</v>
      </c>
      <c r="T9">
        <v>237.60000000000002</v>
      </c>
      <c r="U9" s="5">
        <v>3008</v>
      </c>
      <c r="V9">
        <v>258.60000000000002</v>
      </c>
      <c r="W9" s="5">
        <v>25183</v>
      </c>
      <c r="X9">
        <v>263.60000000000002</v>
      </c>
      <c r="Y9" s="6"/>
      <c r="Z9">
        <v>536.79999999999995</v>
      </c>
      <c r="AA9" s="4">
        <v>2365</v>
      </c>
      <c r="AB9">
        <v>419.6</v>
      </c>
      <c r="AC9" s="37">
        <v>6573</v>
      </c>
      <c r="AD9">
        <v>270</v>
      </c>
      <c r="AE9" s="4">
        <v>2537</v>
      </c>
      <c r="AF9">
        <v>283</v>
      </c>
      <c r="AG9" s="3"/>
    </row>
    <row r="10" spans="1:33" ht="24" thickTop="1" thickBot="1" x14ac:dyDescent="0.35">
      <c r="A10" s="1">
        <v>2015</v>
      </c>
      <c r="B10" s="4">
        <v>5434</v>
      </c>
      <c r="C10" s="5">
        <v>18171</v>
      </c>
      <c r="D10" s="4">
        <v>10779</v>
      </c>
      <c r="E10" s="4">
        <v>1164</v>
      </c>
      <c r="F10" s="5">
        <v>5443</v>
      </c>
      <c r="G10" s="5">
        <v>13836</v>
      </c>
      <c r="H10" s="4">
        <v>11116</v>
      </c>
      <c r="I10" s="4">
        <v>1814</v>
      </c>
      <c r="J10" s="5">
        <v>16853</v>
      </c>
      <c r="K10" s="3"/>
      <c r="L10" s="12">
        <f t="shared" si="0"/>
        <v>12.739628885474531</v>
      </c>
      <c r="N10">
        <v>320.7</v>
      </c>
      <c r="O10" s="5">
        <v>13836</v>
      </c>
      <c r="P10">
        <v>325.5</v>
      </c>
      <c r="Q10" s="4">
        <v>10779</v>
      </c>
      <c r="R10">
        <v>350.61818181818177</v>
      </c>
      <c r="S10" s="4">
        <v>5434</v>
      </c>
      <c r="T10">
        <v>202.9</v>
      </c>
      <c r="U10" s="5">
        <v>5443</v>
      </c>
      <c r="V10">
        <v>232</v>
      </c>
      <c r="W10" s="5">
        <v>18171</v>
      </c>
      <c r="X10">
        <v>232.6</v>
      </c>
      <c r="Y10" s="5">
        <v>16853</v>
      </c>
      <c r="Z10">
        <v>610.4</v>
      </c>
      <c r="AA10" s="4">
        <v>1164</v>
      </c>
      <c r="AB10">
        <v>425.8</v>
      </c>
      <c r="AC10" s="4">
        <v>11116</v>
      </c>
      <c r="AD10">
        <v>275.2</v>
      </c>
      <c r="AE10" s="4">
        <v>1814</v>
      </c>
      <c r="AF10">
        <v>237.5</v>
      </c>
      <c r="AG10" s="3"/>
    </row>
    <row r="11" spans="1:33" ht="15.6" thickTop="1" thickBot="1" x14ac:dyDescent="0.35">
      <c r="A11" s="1">
        <v>2016</v>
      </c>
      <c r="B11" s="4">
        <v>90397</v>
      </c>
      <c r="C11" s="5">
        <v>2802</v>
      </c>
      <c r="D11" s="4">
        <v>4917</v>
      </c>
      <c r="E11" s="4">
        <v>4359</v>
      </c>
      <c r="F11" s="5">
        <v>210</v>
      </c>
      <c r="G11" s="5">
        <v>50873</v>
      </c>
      <c r="H11" s="37">
        <v>254510</v>
      </c>
      <c r="I11" s="4">
        <v>1586</v>
      </c>
      <c r="J11" s="5">
        <v>2599</v>
      </c>
      <c r="K11" s="4">
        <v>1900</v>
      </c>
      <c r="L11" s="12">
        <f t="shared" si="0"/>
        <v>1.1872423959261433</v>
      </c>
      <c r="N11">
        <v>479.1</v>
      </c>
      <c r="O11" s="5">
        <v>50873</v>
      </c>
      <c r="P11">
        <v>448.8</v>
      </c>
      <c r="Q11" s="4">
        <v>4917</v>
      </c>
      <c r="R11">
        <v>477.7</v>
      </c>
      <c r="S11" s="4">
        <v>90397</v>
      </c>
      <c r="T11">
        <v>266.25</v>
      </c>
      <c r="U11" s="5">
        <v>210</v>
      </c>
      <c r="V11">
        <v>349.4</v>
      </c>
      <c r="W11" s="5">
        <v>2802</v>
      </c>
      <c r="X11">
        <v>314.89999999999998</v>
      </c>
      <c r="Y11" s="5">
        <v>2599</v>
      </c>
      <c r="Z11">
        <v>673.6</v>
      </c>
      <c r="AA11" s="4">
        <v>4359</v>
      </c>
      <c r="AB11">
        <v>631.79999999999995</v>
      </c>
      <c r="AC11" s="37">
        <v>254510</v>
      </c>
      <c r="AD11">
        <v>405.8</v>
      </c>
      <c r="AE11" s="4">
        <v>1586</v>
      </c>
      <c r="AF11">
        <v>400.5</v>
      </c>
      <c r="AG11" s="4">
        <v>1900</v>
      </c>
    </row>
    <row r="12" spans="1:33" ht="24" thickTop="1" thickBot="1" x14ac:dyDescent="0.35">
      <c r="A12" s="1">
        <v>2017</v>
      </c>
      <c r="B12" s="4">
        <v>8956</v>
      </c>
      <c r="C12" s="5">
        <v>9989</v>
      </c>
      <c r="D12" s="4">
        <v>6344</v>
      </c>
      <c r="E12" s="4">
        <v>1853</v>
      </c>
      <c r="F12" s="5">
        <v>4681</v>
      </c>
      <c r="G12" s="5">
        <v>10725</v>
      </c>
      <c r="H12" s="37">
        <v>15900</v>
      </c>
      <c r="I12" s="4">
        <v>3821</v>
      </c>
      <c r="J12" s="5">
        <v>21960</v>
      </c>
      <c r="K12" s="3"/>
      <c r="L12" s="36">
        <f>D12/SUM(B12:K12)*100</f>
        <v>7.5318477009106131</v>
      </c>
      <c r="N12">
        <v>350.6</v>
      </c>
      <c r="O12" s="5">
        <v>10725</v>
      </c>
      <c r="P12">
        <v>401.67272727272734</v>
      </c>
      <c r="Q12" s="4">
        <v>6344</v>
      </c>
      <c r="R12">
        <v>302.3</v>
      </c>
      <c r="S12" s="4">
        <v>8956</v>
      </c>
      <c r="T12">
        <v>341</v>
      </c>
      <c r="U12" s="5">
        <v>4681</v>
      </c>
      <c r="V12">
        <v>249.8</v>
      </c>
      <c r="W12" s="5">
        <v>9989</v>
      </c>
      <c r="X12">
        <v>240.5</v>
      </c>
      <c r="Y12" s="5">
        <v>21960</v>
      </c>
      <c r="Z12">
        <v>548.4</v>
      </c>
      <c r="AA12" s="4">
        <v>1853</v>
      </c>
      <c r="AB12">
        <v>373.9</v>
      </c>
      <c r="AC12" s="37">
        <v>15900</v>
      </c>
      <c r="AD12">
        <v>156</v>
      </c>
      <c r="AE12" s="4">
        <v>3821</v>
      </c>
      <c r="AF12">
        <v>186</v>
      </c>
      <c r="AG12" s="3"/>
    </row>
    <row r="13" spans="1:33" ht="24" thickTop="1" thickBot="1" x14ac:dyDescent="0.35">
      <c r="A13" s="1">
        <v>2018</v>
      </c>
      <c r="B13" s="4">
        <v>3496</v>
      </c>
      <c r="C13" s="5">
        <v>11111</v>
      </c>
      <c r="D13" s="4">
        <v>2197</v>
      </c>
      <c r="E13" s="4">
        <v>18001</v>
      </c>
      <c r="F13" s="5">
        <v>3716</v>
      </c>
      <c r="G13" s="5">
        <v>6267</v>
      </c>
      <c r="H13" s="37">
        <v>182</v>
      </c>
      <c r="I13" s="3"/>
      <c r="J13" s="5">
        <v>20610</v>
      </c>
      <c r="K13" s="3"/>
      <c r="L13" s="36">
        <f t="shared" si="0"/>
        <v>3.3501067398597129</v>
      </c>
      <c r="N13">
        <v>165.1</v>
      </c>
      <c r="O13" s="5">
        <v>6267</v>
      </c>
      <c r="P13">
        <v>148.80000000000001</v>
      </c>
      <c r="Q13" s="4">
        <v>2197</v>
      </c>
      <c r="R13">
        <v>223.09090909090909</v>
      </c>
      <c r="S13" s="4">
        <v>3496</v>
      </c>
      <c r="T13">
        <v>148.03636363636363</v>
      </c>
      <c r="U13" s="5">
        <v>3716</v>
      </c>
      <c r="V13">
        <v>193.8</v>
      </c>
      <c r="W13" s="5">
        <v>11111</v>
      </c>
      <c r="X13">
        <v>166.2</v>
      </c>
      <c r="Y13" s="5">
        <v>20610</v>
      </c>
      <c r="Z13">
        <v>385.4</v>
      </c>
      <c r="AA13" s="4">
        <v>18001</v>
      </c>
      <c r="AB13">
        <v>206.8</v>
      </c>
      <c r="AC13" s="37">
        <v>182</v>
      </c>
      <c r="AD13">
        <v>72.2</v>
      </c>
      <c r="AE13" s="3"/>
      <c r="AF13">
        <v>81</v>
      </c>
      <c r="AG13" s="3"/>
    </row>
    <row r="14" spans="1:33" ht="15.6" thickTop="1" thickBot="1" x14ac:dyDescent="0.35">
      <c r="A14" s="1">
        <v>2019</v>
      </c>
      <c r="B14" s="4">
        <v>3785</v>
      </c>
      <c r="C14" s="5">
        <v>23639</v>
      </c>
      <c r="D14" s="4">
        <v>1272</v>
      </c>
      <c r="E14" s="4">
        <v>2021</v>
      </c>
      <c r="F14" s="5">
        <v>1201</v>
      </c>
      <c r="G14" s="5">
        <v>6723</v>
      </c>
      <c r="H14" s="4">
        <v>6</v>
      </c>
      <c r="I14" s="4">
        <v>2159</v>
      </c>
      <c r="J14" s="5">
        <v>16311</v>
      </c>
      <c r="K14" s="4">
        <v>2</v>
      </c>
      <c r="L14" s="36">
        <f t="shared" si="0"/>
        <v>2.2269297431677724</v>
      </c>
      <c r="N14">
        <v>192</v>
      </c>
      <c r="O14" s="5">
        <v>6723</v>
      </c>
      <c r="P14">
        <v>200.13333333333335</v>
      </c>
      <c r="Q14" s="4">
        <v>1272</v>
      </c>
      <c r="R14">
        <v>183.9</v>
      </c>
      <c r="S14" s="4">
        <v>3785</v>
      </c>
      <c r="T14">
        <v>148.80000000000001</v>
      </c>
      <c r="U14" s="5">
        <v>1201</v>
      </c>
      <c r="V14">
        <v>91.5</v>
      </c>
      <c r="W14" s="5">
        <v>23639</v>
      </c>
      <c r="X14">
        <v>120.76363636363637</v>
      </c>
      <c r="Y14" s="5">
        <v>16311</v>
      </c>
      <c r="Z14">
        <v>189</v>
      </c>
      <c r="AA14" s="4">
        <v>2021</v>
      </c>
      <c r="AB14">
        <v>102</v>
      </c>
      <c r="AC14" s="4">
        <v>6</v>
      </c>
      <c r="AD14">
        <v>98.6</v>
      </c>
      <c r="AE14" s="4">
        <v>2159</v>
      </c>
      <c r="AF14">
        <v>174</v>
      </c>
      <c r="AG14" s="4">
        <v>2</v>
      </c>
    </row>
    <row r="15" spans="1:33" ht="15.6" thickTop="1" thickBot="1" x14ac:dyDescent="0.35">
      <c r="A15" s="1">
        <v>2020</v>
      </c>
      <c r="B15" s="4">
        <v>40059</v>
      </c>
      <c r="C15" s="5">
        <v>20909</v>
      </c>
      <c r="D15" s="4">
        <v>4986</v>
      </c>
      <c r="E15" s="4">
        <v>18679</v>
      </c>
      <c r="F15" s="5">
        <v>1252</v>
      </c>
      <c r="G15" s="5">
        <v>68575</v>
      </c>
      <c r="H15" s="37">
        <v>17853</v>
      </c>
      <c r="I15" s="4">
        <v>10025</v>
      </c>
      <c r="J15" s="5">
        <v>16285</v>
      </c>
      <c r="K15" s="4">
        <v>15674</v>
      </c>
      <c r="L15" s="12">
        <f t="shared" si="0"/>
        <v>2.3266774616536865</v>
      </c>
      <c r="N15">
        <v>332.4</v>
      </c>
      <c r="O15" s="5">
        <v>68575</v>
      </c>
      <c r="Q15" s="4">
        <v>4986</v>
      </c>
      <c r="R15">
        <v>370</v>
      </c>
      <c r="S15" s="4">
        <v>40059</v>
      </c>
      <c r="T15">
        <v>207.36000000000004</v>
      </c>
      <c r="U15" s="5">
        <v>1252</v>
      </c>
      <c r="V15">
        <v>289.89999999999998</v>
      </c>
      <c r="W15" s="5">
        <v>20909</v>
      </c>
      <c r="X15">
        <v>282.60000000000002</v>
      </c>
      <c r="Y15" s="5">
        <v>16285</v>
      </c>
      <c r="Z15">
        <v>656.4</v>
      </c>
      <c r="AA15" s="4">
        <v>18679</v>
      </c>
      <c r="AB15">
        <v>611.6</v>
      </c>
      <c r="AC15" s="37">
        <v>17853</v>
      </c>
      <c r="AD15">
        <v>237.2</v>
      </c>
      <c r="AE15" s="4">
        <v>10025</v>
      </c>
      <c r="AF15">
        <v>460.5</v>
      </c>
      <c r="AG15" s="4">
        <v>15674</v>
      </c>
    </row>
    <row r="16" spans="1:33" ht="15" thickTop="1" x14ac:dyDescent="0.3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D7165-0325-4F2C-B180-B6EF977DB7CA}">
  <dimension ref="A1:N99"/>
  <sheetViews>
    <sheetView workbookViewId="0">
      <pane ySplit="1" topLeftCell="A2" activePane="bottomLeft" state="frozen"/>
      <selection pane="bottomLeft" activeCell="G21" sqref="G21"/>
    </sheetView>
  </sheetViews>
  <sheetFormatPr defaultRowHeight="14.4" x14ac:dyDescent="0.3"/>
  <cols>
    <col min="1" max="1" width="7.88671875" bestFit="1" customWidth="1"/>
    <col min="2" max="2" width="5.5546875" customWidth="1"/>
    <col min="3" max="3" width="7.21875" bestFit="1" customWidth="1"/>
    <col min="4" max="4" width="12" bestFit="1" customWidth="1"/>
    <col min="5" max="5" width="11.44140625" bestFit="1" customWidth="1"/>
    <col min="6" max="6" width="11.44140625" customWidth="1"/>
    <col min="7" max="7" width="11.44140625" bestFit="1" customWidth="1"/>
    <col min="8" max="8" width="11.44140625" customWidth="1"/>
    <col min="9" max="9" width="12.21875" bestFit="1" customWidth="1"/>
    <col min="10" max="10" width="11.44140625" customWidth="1"/>
    <col min="11" max="11" width="15.109375" bestFit="1" customWidth="1"/>
    <col min="12" max="12" width="15.109375" customWidth="1"/>
    <col min="13" max="13" width="7.109375" bestFit="1" customWidth="1"/>
  </cols>
  <sheetData>
    <row r="1" spans="1:14" x14ac:dyDescent="0.3">
      <c r="A1" s="33" t="s">
        <v>105</v>
      </c>
      <c r="B1" s="33" t="s">
        <v>106</v>
      </c>
      <c r="C1" s="33" t="s">
        <v>107</v>
      </c>
      <c r="D1" s="33" t="s">
        <v>125</v>
      </c>
      <c r="E1" s="33" t="s">
        <v>108</v>
      </c>
      <c r="F1" s="33" t="s">
        <v>121</v>
      </c>
      <c r="G1" s="33" t="s">
        <v>109</v>
      </c>
      <c r="H1" s="33" t="s">
        <v>122</v>
      </c>
      <c r="I1" s="33" t="s">
        <v>110</v>
      </c>
      <c r="J1" s="33" t="s">
        <v>123</v>
      </c>
      <c r="K1" s="33" t="s">
        <v>111</v>
      </c>
      <c r="L1" s="33" t="s">
        <v>120</v>
      </c>
      <c r="M1" s="33" t="s">
        <v>112</v>
      </c>
      <c r="N1" s="33" t="s">
        <v>124</v>
      </c>
    </row>
    <row r="2" spans="1:14" x14ac:dyDescent="0.3">
      <c r="A2" s="33" t="s">
        <v>113</v>
      </c>
      <c r="B2" s="35">
        <v>2010</v>
      </c>
      <c r="C2" s="33">
        <v>639.79999999999995</v>
      </c>
      <c r="D2" s="33">
        <f>LOG(C2)</f>
        <v>2.8060442357480881</v>
      </c>
      <c r="E2" s="34">
        <v>1562121.8740000001</v>
      </c>
      <c r="F2" s="34">
        <f>LOG(E2)</f>
        <v>6.1937149137544134</v>
      </c>
      <c r="G2" s="34">
        <v>1858866.095</v>
      </c>
      <c r="H2" s="34">
        <f>LOG(G2)</f>
        <v>6.2692481061263132</v>
      </c>
      <c r="I2" s="34">
        <v>2915583.568</v>
      </c>
      <c r="J2" s="34">
        <f>LOG(I2)</f>
        <v>6.464725493913857</v>
      </c>
      <c r="K2" s="34">
        <v>195882</v>
      </c>
      <c r="L2" s="34">
        <f>LOG(K2+1)</f>
        <v>5.2919967467320728</v>
      </c>
      <c r="M2" s="32">
        <v>132344</v>
      </c>
      <c r="N2">
        <f>LOG(M2+1)</f>
        <v>5.1217075382824131</v>
      </c>
    </row>
    <row r="3" spans="1:14" x14ac:dyDescent="0.3">
      <c r="A3" s="33" t="s">
        <v>113</v>
      </c>
      <c r="B3" s="35">
        <v>2011</v>
      </c>
      <c r="C3" s="33">
        <v>464</v>
      </c>
      <c r="D3" s="33">
        <f t="shared" ref="D3:D66" si="0">LOG(C3)</f>
        <v>2.6665179805548807</v>
      </c>
      <c r="E3" s="34">
        <v>1673553.878</v>
      </c>
      <c r="F3" s="34">
        <f t="shared" ref="F3:H66" si="1">LOG(E3)</f>
        <v>6.2236396984932831</v>
      </c>
      <c r="G3" s="34">
        <v>2878541.9539999999</v>
      </c>
      <c r="H3" s="34">
        <f t="shared" si="1"/>
        <v>6.4591725635663533</v>
      </c>
      <c r="I3" s="34">
        <v>6812806.6210000003</v>
      </c>
      <c r="J3" s="34">
        <f t="shared" ref="J3" si="2">LOG(I3)</f>
        <v>6.8333260618258613</v>
      </c>
      <c r="K3" s="34">
        <v>10355</v>
      </c>
      <c r="L3" s="34">
        <f t="shared" ref="L3:L66" si="3">LOG(K3+1)</f>
        <v>4.0151920417628348</v>
      </c>
      <c r="M3" s="32">
        <v>16</v>
      </c>
      <c r="N3">
        <f t="shared" ref="N3:N66" si="4">LOG(M3+1)</f>
        <v>1.2304489213782739</v>
      </c>
    </row>
    <row r="4" spans="1:14" x14ac:dyDescent="0.3">
      <c r="A4" s="33" t="s">
        <v>113</v>
      </c>
      <c r="B4" s="35">
        <v>2012</v>
      </c>
      <c r="C4" s="33">
        <v>450.8</v>
      </c>
      <c r="D4" s="33">
        <f t="shared" si="0"/>
        <v>2.653983907374069</v>
      </c>
      <c r="E4" s="34">
        <v>2056181.1869999999</v>
      </c>
      <c r="F4" s="34">
        <f t="shared" si="1"/>
        <v>6.3130613812606144</v>
      </c>
      <c r="G4" s="34">
        <v>2977229.9470000002</v>
      </c>
      <c r="H4" s="34">
        <f t="shared" si="1"/>
        <v>6.4738123787705391</v>
      </c>
      <c r="I4" s="34">
        <v>4976851.517</v>
      </c>
      <c r="J4" s="34">
        <f t="shared" ref="J4" si="5">LOG(I4)</f>
        <v>6.6969546838805512</v>
      </c>
      <c r="K4" s="34">
        <v>18224</v>
      </c>
      <c r="L4" s="34">
        <f t="shared" si="3"/>
        <v>4.2606675369900122</v>
      </c>
      <c r="M4" s="32">
        <v>12</v>
      </c>
      <c r="N4">
        <f t="shared" si="4"/>
        <v>1.1139433523068367</v>
      </c>
    </row>
    <row r="5" spans="1:14" x14ac:dyDescent="0.3">
      <c r="A5" s="33" t="s">
        <v>113</v>
      </c>
      <c r="B5" s="35">
        <v>2013</v>
      </c>
      <c r="C5" s="33">
        <v>250</v>
      </c>
      <c r="D5" s="33">
        <f t="shared" si="0"/>
        <v>2.3979400086720375</v>
      </c>
      <c r="E5" s="34">
        <v>1300157.2350000001</v>
      </c>
      <c r="F5" s="34">
        <f t="shared" si="1"/>
        <v>6.1139958770480529</v>
      </c>
      <c r="G5" s="34">
        <v>1687224.077</v>
      </c>
      <c r="H5" s="34">
        <f t="shared" si="1"/>
        <v>6.2271727642383246</v>
      </c>
      <c r="I5" s="34">
        <v>2860605.2089999998</v>
      </c>
      <c r="J5" s="34">
        <f t="shared" ref="J5" si="6">LOG(I5)</f>
        <v>6.4564579251301426</v>
      </c>
      <c r="K5" s="34">
        <v>2954</v>
      </c>
      <c r="L5" s="34">
        <f t="shared" si="3"/>
        <v>3.4705574852172743</v>
      </c>
      <c r="M5" s="32">
        <v>0</v>
      </c>
      <c r="N5">
        <f t="shared" si="4"/>
        <v>0</v>
      </c>
    </row>
    <row r="6" spans="1:14" x14ac:dyDescent="0.3">
      <c r="A6" s="33" t="s">
        <v>113</v>
      </c>
      <c r="B6" s="35">
        <v>2014</v>
      </c>
      <c r="C6" s="33">
        <v>278.39999999999998</v>
      </c>
      <c r="D6" s="33">
        <f t="shared" si="0"/>
        <v>2.4446692309385245</v>
      </c>
      <c r="E6" s="34">
        <v>875105.74600000004</v>
      </c>
      <c r="F6" s="34">
        <f t="shared" si="1"/>
        <v>5.9420605354559539</v>
      </c>
      <c r="G6" s="34">
        <v>1354657.25</v>
      </c>
      <c r="H6" s="34">
        <f t="shared" si="1"/>
        <v>6.1318294256433665</v>
      </c>
      <c r="I6" s="34">
        <v>2966362.3110000002</v>
      </c>
      <c r="J6" s="34">
        <f t="shared" ref="J6" si="7">LOG(I6)</f>
        <v>6.47222419458795</v>
      </c>
      <c r="K6" s="34">
        <v>1263</v>
      </c>
      <c r="L6" s="34">
        <f t="shared" si="3"/>
        <v>3.1017470739463664</v>
      </c>
      <c r="M6" s="32">
        <v>0</v>
      </c>
      <c r="N6">
        <f t="shared" si="4"/>
        <v>0</v>
      </c>
    </row>
    <row r="7" spans="1:14" x14ac:dyDescent="0.3">
      <c r="A7" s="33" t="s">
        <v>113</v>
      </c>
      <c r="B7" s="35">
        <v>2015</v>
      </c>
      <c r="C7" s="33">
        <v>350.61818181818177</v>
      </c>
      <c r="D7" s="33">
        <f t="shared" si="0"/>
        <v>2.5448344333167254</v>
      </c>
      <c r="E7" s="34">
        <v>724498.19400000002</v>
      </c>
      <c r="F7" s="34">
        <f t="shared" si="1"/>
        <v>5.8600373072167011</v>
      </c>
      <c r="G7" s="34">
        <v>1347114.071</v>
      </c>
      <c r="H7" s="34">
        <f t="shared" si="1"/>
        <v>6.1294043724923197</v>
      </c>
      <c r="I7" s="34">
        <v>2832815.9939999999</v>
      </c>
      <c r="J7" s="34">
        <f t="shared" ref="J7" si="8">LOG(I7)</f>
        <v>6.4522183657714942</v>
      </c>
      <c r="K7" s="34">
        <v>2786</v>
      </c>
      <c r="L7" s="34">
        <f t="shared" si="3"/>
        <v>3.445136968713304</v>
      </c>
      <c r="M7" s="32">
        <v>0</v>
      </c>
      <c r="N7">
        <f t="shared" si="4"/>
        <v>0</v>
      </c>
    </row>
    <row r="8" spans="1:14" x14ac:dyDescent="0.3">
      <c r="A8" s="33" t="s">
        <v>113</v>
      </c>
      <c r="B8" s="35">
        <v>2016</v>
      </c>
      <c r="C8" s="33">
        <v>477.7</v>
      </c>
      <c r="D8" s="33">
        <f t="shared" si="0"/>
        <v>2.6791552412833539</v>
      </c>
      <c r="E8" s="34">
        <v>1886877.889</v>
      </c>
      <c r="F8" s="34">
        <f t="shared" si="1"/>
        <v>6.275743795316254</v>
      </c>
      <c r="G8" s="34">
        <v>2447115.952</v>
      </c>
      <c r="H8" s="34">
        <f t="shared" si="1"/>
        <v>6.3886545480688728</v>
      </c>
      <c r="I8" s="34">
        <v>3682730.6889999998</v>
      </c>
      <c r="J8" s="34">
        <f t="shared" ref="J8" si="9">LOG(I8)</f>
        <v>6.5661699608973647</v>
      </c>
      <c r="K8" s="34">
        <v>76487</v>
      </c>
      <c r="L8" s="34">
        <f t="shared" si="3"/>
        <v>4.8835933051853386</v>
      </c>
      <c r="M8" s="32">
        <v>11918</v>
      </c>
      <c r="N8">
        <f t="shared" si="4"/>
        <v>4.0762398197750249</v>
      </c>
    </row>
    <row r="9" spans="1:14" x14ac:dyDescent="0.3">
      <c r="A9" s="33" t="s">
        <v>113</v>
      </c>
      <c r="B9" s="35">
        <v>2017</v>
      </c>
      <c r="C9" s="33">
        <v>302.3</v>
      </c>
      <c r="D9" s="33">
        <f t="shared" si="0"/>
        <v>2.480438147177817</v>
      </c>
      <c r="E9" s="34">
        <v>742098.89099999995</v>
      </c>
      <c r="F9" s="34">
        <f t="shared" si="1"/>
        <v>5.87046178257539</v>
      </c>
      <c r="G9" s="34">
        <v>1268942.8689999999</v>
      </c>
      <c r="H9" s="34">
        <f t="shared" si="1"/>
        <v>6.1034420695048075</v>
      </c>
      <c r="I9" s="34">
        <v>3281887.71</v>
      </c>
      <c r="J9" s="34">
        <f t="shared" ref="J9" si="10">LOG(I9)</f>
        <v>6.516123717557524</v>
      </c>
      <c r="K9" s="34">
        <v>5943</v>
      </c>
      <c r="L9" s="34">
        <f t="shared" si="3"/>
        <v>3.7740788007525188</v>
      </c>
      <c r="M9" s="32">
        <v>1</v>
      </c>
      <c r="N9">
        <f t="shared" si="4"/>
        <v>0.3010299956639812</v>
      </c>
    </row>
    <row r="10" spans="1:14" x14ac:dyDescent="0.3">
      <c r="A10" s="33" t="s">
        <v>113</v>
      </c>
      <c r="B10" s="35">
        <v>2018</v>
      </c>
      <c r="C10" s="33">
        <v>223.09090909090909</v>
      </c>
      <c r="D10" s="33">
        <f t="shared" si="0"/>
        <v>2.3484818732327604</v>
      </c>
      <c r="E10" s="34">
        <v>606082.62899999996</v>
      </c>
      <c r="F10" s="34">
        <f t="shared" si="1"/>
        <v>5.7825318368271104</v>
      </c>
      <c r="G10" s="34">
        <v>1213510.7930000001</v>
      </c>
      <c r="H10" s="34">
        <f t="shared" si="1"/>
        <v>6.0840436433127811</v>
      </c>
      <c r="I10" s="33">
        <v>2751080.9189999998</v>
      </c>
      <c r="J10" s="34">
        <f t="shared" ref="J10" si="11">LOG(I10)</f>
        <v>6.439503364711145</v>
      </c>
      <c r="K10" s="34">
        <v>1773</v>
      </c>
      <c r="L10" s="34">
        <f t="shared" si="3"/>
        <v>3.2489536154957075</v>
      </c>
      <c r="M10" s="32">
        <v>1</v>
      </c>
      <c r="N10">
        <f t="shared" si="4"/>
        <v>0.3010299956639812</v>
      </c>
    </row>
    <row r="11" spans="1:14" x14ac:dyDescent="0.3">
      <c r="A11" s="33" t="s">
        <v>113</v>
      </c>
      <c r="B11" s="35">
        <v>2019</v>
      </c>
      <c r="C11" s="33">
        <v>183.9</v>
      </c>
      <c r="D11" s="33">
        <f t="shared" si="0"/>
        <v>2.2645817292380777</v>
      </c>
      <c r="E11" s="34">
        <v>915685.12199999997</v>
      </c>
      <c r="F11" s="34">
        <f t="shared" si="1"/>
        <v>5.9617461578519633</v>
      </c>
      <c r="G11" s="34">
        <v>1408571.5830000001</v>
      </c>
      <c r="H11" s="34">
        <f t="shared" si="1"/>
        <v>6.148778922540779</v>
      </c>
      <c r="I11" s="34">
        <v>3062469.98</v>
      </c>
      <c r="J11" s="34">
        <f t="shared" ref="J11" si="12">LOG(I11)</f>
        <v>6.4860718402022224</v>
      </c>
      <c r="K11" s="34">
        <v>3785</v>
      </c>
      <c r="L11" s="34">
        <f t="shared" si="3"/>
        <v>3.5781806096277777</v>
      </c>
      <c r="M11" s="32">
        <v>0</v>
      </c>
      <c r="N11">
        <f t="shared" si="4"/>
        <v>0</v>
      </c>
    </row>
    <row r="12" spans="1:14" x14ac:dyDescent="0.3">
      <c r="A12" s="33" t="s">
        <v>113</v>
      </c>
      <c r="B12" s="35">
        <v>2020</v>
      </c>
      <c r="C12" s="33">
        <v>370</v>
      </c>
      <c r="D12" s="33">
        <f t="shared" si="0"/>
        <v>2.568201724066995</v>
      </c>
      <c r="E12" s="34">
        <v>783769.89300000004</v>
      </c>
      <c r="F12" s="34">
        <f t="shared" si="1"/>
        <v>5.894188576882458</v>
      </c>
      <c r="G12" s="34">
        <v>1625933.1529999999</v>
      </c>
      <c r="H12" s="34">
        <f t="shared" si="1"/>
        <v>6.2111026864732981</v>
      </c>
      <c r="I12" s="34">
        <v>2928225.926</v>
      </c>
      <c r="J12" s="34">
        <f t="shared" ref="J12" si="13">LOG(I12)</f>
        <v>6.4666045814812581</v>
      </c>
      <c r="K12" s="34">
        <v>24763</v>
      </c>
      <c r="L12" s="34">
        <f t="shared" si="3"/>
        <v>4.3938207953408677</v>
      </c>
      <c r="M12" s="32">
        <v>0</v>
      </c>
      <c r="N12">
        <f t="shared" si="4"/>
        <v>0</v>
      </c>
    </row>
    <row r="13" spans="1:14" x14ac:dyDescent="0.3">
      <c r="A13" s="33" t="s">
        <v>114</v>
      </c>
      <c r="B13" s="35">
        <v>2007</v>
      </c>
      <c r="C13">
        <v>260.60000000000002</v>
      </c>
      <c r="D13" s="33">
        <f t="shared" si="0"/>
        <v>2.415974411376566</v>
      </c>
      <c r="E13">
        <v>365137.85399999999</v>
      </c>
      <c r="F13" s="34">
        <f t="shared" si="1"/>
        <v>5.562456858781359</v>
      </c>
      <c r="G13">
        <v>653077.19999999995</v>
      </c>
      <c r="H13" s="34">
        <f t="shared" si="1"/>
        <v>5.8149645220902144</v>
      </c>
      <c r="I13">
        <v>3798051.889</v>
      </c>
      <c r="J13" s="34">
        <f t="shared" ref="J13" si="14">LOG(I13)</f>
        <v>6.5795608937744676</v>
      </c>
      <c r="K13">
        <v>4784</v>
      </c>
      <c r="L13" s="34">
        <f t="shared" si="3"/>
        <v>3.6798819421128623</v>
      </c>
      <c r="M13">
        <v>0</v>
      </c>
      <c r="N13">
        <f t="shared" si="4"/>
        <v>0</v>
      </c>
    </row>
    <row r="14" spans="1:14" x14ac:dyDescent="0.3">
      <c r="A14" s="33" t="s">
        <v>114</v>
      </c>
      <c r="B14" s="35">
        <v>2008</v>
      </c>
      <c r="C14">
        <v>189.81818181818178</v>
      </c>
      <c r="D14" s="33">
        <f t="shared" si="0"/>
        <v>2.2783378091719992</v>
      </c>
      <c r="E14">
        <v>210769</v>
      </c>
      <c r="F14" s="34">
        <f t="shared" si="1"/>
        <v>5.3238067350083833</v>
      </c>
      <c r="G14">
        <v>375924</v>
      </c>
      <c r="H14" s="34">
        <f t="shared" si="1"/>
        <v>5.5751000531275929</v>
      </c>
      <c r="I14">
        <v>1038675</v>
      </c>
      <c r="J14" s="34">
        <f t="shared" ref="J14" si="15">LOG(I14)</f>
        <v>6.0164796786577881</v>
      </c>
      <c r="K14">
        <v>15565</v>
      </c>
      <c r="L14" s="34">
        <f t="shared" si="3"/>
        <v>4.192177026112752</v>
      </c>
      <c r="M14">
        <v>0</v>
      </c>
      <c r="N14">
        <f t="shared" si="4"/>
        <v>0</v>
      </c>
    </row>
    <row r="15" spans="1:14" x14ac:dyDescent="0.3">
      <c r="A15" s="33" t="s">
        <v>114</v>
      </c>
      <c r="B15" s="35">
        <v>2009</v>
      </c>
      <c r="C15">
        <v>211.2</v>
      </c>
      <c r="D15" s="33">
        <f t="shared" si="0"/>
        <v>2.3246939138617746</v>
      </c>
      <c r="E15">
        <v>187307</v>
      </c>
      <c r="F15" s="34">
        <f t="shared" si="1"/>
        <v>5.2725540080456392</v>
      </c>
      <c r="G15">
        <v>374082</v>
      </c>
      <c r="H15" s="34">
        <f t="shared" si="1"/>
        <v>5.5729668114092537</v>
      </c>
      <c r="I15">
        <v>1149604</v>
      </c>
      <c r="J15" s="34">
        <f t="shared" ref="J15" si="16">LOG(I15)</f>
        <v>6.0605482662386478</v>
      </c>
      <c r="K15">
        <v>9169</v>
      </c>
      <c r="L15" s="34">
        <f t="shared" si="3"/>
        <v>3.9623693356700209</v>
      </c>
      <c r="M15">
        <v>101</v>
      </c>
      <c r="N15">
        <f t="shared" si="4"/>
        <v>2.0086001717619175</v>
      </c>
    </row>
    <row r="16" spans="1:14" x14ac:dyDescent="0.3">
      <c r="A16" s="33" t="s">
        <v>114</v>
      </c>
      <c r="B16" s="35">
        <v>2010</v>
      </c>
      <c r="C16">
        <v>521.20000000000005</v>
      </c>
      <c r="D16" s="33">
        <f t="shared" si="0"/>
        <v>2.7170044070405472</v>
      </c>
      <c r="E16">
        <v>1199541</v>
      </c>
      <c r="F16" s="34">
        <f t="shared" si="1"/>
        <v>6.0790150966301946</v>
      </c>
      <c r="G16">
        <v>1670796</v>
      </c>
      <c r="H16" s="34">
        <f t="shared" si="1"/>
        <v>6.2229234268636082</v>
      </c>
      <c r="I16">
        <v>2822085</v>
      </c>
      <c r="J16" s="34">
        <f t="shared" ref="J16" si="17">LOG(I16)</f>
        <v>6.4505700903804213</v>
      </c>
      <c r="K16">
        <v>4368</v>
      </c>
      <c r="L16" s="34">
        <f t="shared" si="3"/>
        <v>3.6403820447095683</v>
      </c>
      <c r="M16">
        <v>28</v>
      </c>
      <c r="N16">
        <f t="shared" si="4"/>
        <v>1.4623979978989561</v>
      </c>
    </row>
    <row r="17" spans="1:14" x14ac:dyDescent="0.3">
      <c r="A17" s="33" t="s">
        <v>114</v>
      </c>
      <c r="B17" s="35">
        <v>2011</v>
      </c>
      <c r="C17">
        <v>483.6</v>
      </c>
      <c r="D17" s="33">
        <f t="shared" si="0"/>
        <v>2.6844862921887342</v>
      </c>
      <c r="E17">
        <v>2794337</v>
      </c>
      <c r="F17" s="34">
        <f t="shared" si="1"/>
        <v>6.4462787813109577</v>
      </c>
      <c r="G17">
        <v>5490841</v>
      </c>
      <c r="H17" s="34">
        <f t="shared" si="1"/>
        <v>6.739638867890327</v>
      </c>
      <c r="I17">
        <v>16983482</v>
      </c>
      <c r="J17" s="34">
        <f t="shared" ref="J17" si="18">LOG(I17)</f>
        <v>7.2300267352810978</v>
      </c>
      <c r="K17">
        <v>25611</v>
      </c>
      <c r="L17" s="34">
        <f t="shared" si="3"/>
        <v>4.4084434931521299</v>
      </c>
      <c r="M17">
        <v>78</v>
      </c>
      <c r="N17">
        <f t="shared" si="4"/>
        <v>1.8976270912904414</v>
      </c>
    </row>
    <row r="18" spans="1:14" x14ac:dyDescent="0.3">
      <c r="A18" s="33" t="s">
        <v>114</v>
      </c>
      <c r="B18" s="35">
        <v>2012</v>
      </c>
      <c r="C18">
        <v>200.6</v>
      </c>
      <c r="D18" s="33">
        <f t="shared" si="0"/>
        <v>2.3023309286843991</v>
      </c>
      <c r="E18">
        <v>2056181.1869999999</v>
      </c>
      <c r="F18" s="34">
        <f t="shared" si="1"/>
        <v>6.3130613812606144</v>
      </c>
      <c r="G18">
        <v>2977229.9470000002</v>
      </c>
      <c r="H18" s="34">
        <f t="shared" si="1"/>
        <v>6.4738123787705391</v>
      </c>
      <c r="I18">
        <v>4976851.517</v>
      </c>
      <c r="J18" s="34">
        <f t="shared" ref="J18" si="19">LOG(I18)</f>
        <v>6.6969546838805512</v>
      </c>
      <c r="K18">
        <v>27176</v>
      </c>
      <c r="L18" s="34">
        <f t="shared" si="3"/>
        <v>4.4342015143775626</v>
      </c>
      <c r="M18">
        <v>341</v>
      </c>
      <c r="N18">
        <f t="shared" si="4"/>
        <v>2.5340261060561349</v>
      </c>
    </row>
    <row r="19" spans="1:14" x14ac:dyDescent="0.3">
      <c r="A19" s="33" t="s">
        <v>114</v>
      </c>
      <c r="B19" s="35">
        <v>2013</v>
      </c>
      <c r="C19">
        <v>268</v>
      </c>
      <c r="D19" s="33">
        <f t="shared" si="0"/>
        <v>2.428134794028789</v>
      </c>
      <c r="E19">
        <v>1300157.2350000001</v>
      </c>
      <c r="F19" s="34">
        <f t="shared" si="1"/>
        <v>6.1139958770480529</v>
      </c>
      <c r="G19">
        <v>1687224.077</v>
      </c>
      <c r="H19" s="34">
        <f t="shared" si="1"/>
        <v>6.2271727642383246</v>
      </c>
      <c r="I19">
        <v>2860605.2089999998</v>
      </c>
      <c r="J19" s="34">
        <f t="shared" ref="J19" si="20">LOG(I19)</f>
        <v>6.4564579251301426</v>
      </c>
      <c r="K19">
        <v>19676</v>
      </c>
      <c r="L19" s="34">
        <f t="shared" si="3"/>
        <v>4.2939588856216977</v>
      </c>
      <c r="M19">
        <v>239</v>
      </c>
      <c r="N19">
        <f t="shared" si="4"/>
        <v>2.3802112417116059</v>
      </c>
    </row>
    <row r="20" spans="1:14" x14ac:dyDescent="0.3">
      <c r="A20" s="33" t="s">
        <v>114</v>
      </c>
      <c r="B20" s="35">
        <v>2014</v>
      </c>
      <c r="C20">
        <v>258.60000000000002</v>
      </c>
      <c r="D20" s="33">
        <f t="shared" si="0"/>
        <v>2.4126285205443754</v>
      </c>
      <c r="E20">
        <v>875105.74600000004</v>
      </c>
      <c r="F20" s="34">
        <f t="shared" si="1"/>
        <v>5.9420605354559539</v>
      </c>
      <c r="G20">
        <v>1354647.25</v>
      </c>
      <c r="H20" s="34">
        <f t="shared" si="1"/>
        <v>6.1318262196952578</v>
      </c>
      <c r="I20">
        <v>2966362.3110000002</v>
      </c>
      <c r="J20" s="34">
        <f t="shared" ref="J20" si="21">LOG(I20)</f>
        <v>6.47222419458795</v>
      </c>
      <c r="K20">
        <v>34277</v>
      </c>
      <c r="L20" s="34">
        <f t="shared" si="3"/>
        <v>4.5350154744441928</v>
      </c>
      <c r="M20">
        <v>216</v>
      </c>
      <c r="N20">
        <f t="shared" si="4"/>
        <v>2.3364597338485296</v>
      </c>
    </row>
    <row r="21" spans="1:14" x14ac:dyDescent="0.3">
      <c r="A21" s="33" t="s">
        <v>114</v>
      </c>
      <c r="B21" s="35">
        <v>2015</v>
      </c>
      <c r="C21">
        <v>232</v>
      </c>
      <c r="D21" s="33">
        <f t="shared" si="0"/>
        <v>2.3654879848908998</v>
      </c>
      <c r="E21">
        <v>740081</v>
      </c>
      <c r="F21" s="34">
        <f t="shared" si="1"/>
        <v>5.8692792547686796</v>
      </c>
      <c r="G21">
        <v>1201491</v>
      </c>
      <c r="H21" s="34">
        <f t="shared" si="1"/>
        <v>6.0797205219855481</v>
      </c>
      <c r="I21">
        <v>2780255</v>
      </c>
      <c r="J21" s="34">
        <f t="shared" ref="J21" si="22">LOG(I21)</f>
        <v>6.4440846304555075</v>
      </c>
      <c r="K21">
        <v>18344</v>
      </c>
      <c r="L21" s="34">
        <f t="shared" si="3"/>
        <v>4.2635177160919664</v>
      </c>
      <c r="M21">
        <v>0</v>
      </c>
      <c r="N21">
        <f t="shared" si="4"/>
        <v>0</v>
      </c>
    </row>
    <row r="22" spans="1:14" x14ac:dyDescent="0.3">
      <c r="A22" s="33" t="s">
        <v>114</v>
      </c>
      <c r="B22" s="35">
        <v>2016</v>
      </c>
      <c r="C22">
        <v>349.4</v>
      </c>
      <c r="D22" s="33">
        <f t="shared" si="0"/>
        <v>2.543322900646912</v>
      </c>
      <c r="E22">
        <v>2746937</v>
      </c>
      <c r="F22" s="34">
        <f t="shared" si="1"/>
        <v>6.4388486991489531</v>
      </c>
      <c r="G22">
        <v>3084957</v>
      </c>
      <c r="H22" s="34">
        <f t="shared" si="1"/>
        <v>6.4892491149517983</v>
      </c>
      <c r="I22">
        <v>4458134</v>
      </c>
      <c r="J22" s="34">
        <f t="shared" ref="J22" si="23">LOG(I22)</f>
        <v>6.6491531181114603</v>
      </c>
      <c r="K22">
        <v>4787</v>
      </c>
      <c r="L22" s="34">
        <f t="shared" si="3"/>
        <v>3.6801541417343731</v>
      </c>
      <c r="M22">
        <v>1114</v>
      </c>
      <c r="N22">
        <f t="shared" si="4"/>
        <v>3.0472748673841794</v>
      </c>
    </row>
    <row r="23" spans="1:14" x14ac:dyDescent="0.3">
      <c r="A23" s="33" t="s">
        <v>114</v>
      </c>
      <c r="B23" s="35">
        <v>2017</v>
      </c>
      <c r="C23">
        <v>249.8</v>
      </c>
      <c r="D23" s="33">
        <f t="shared" si="0"/>
        <v>2.3975924340381169</v>
      </c>
      <c r="E23">
        <v>680773</v>
      </c>
      <c r="F23" s="34">
        <f t="shared" si="1"/>
        <v>5.83300232295265</v>
      </c>
      <c r="G23">
        <v>1237677</v>
      </c>
      <c r="H23" s="34">
        <f t="shared" si="1"/>
        <v>6.0926073204350546</v>
      </c>
      <c r="I23">
        <v>7179771</v>
      </c>
      <c r="J23" s="34">
        <f t="shared" ref="J23" si="24">LOG(I23)</f>
        <v>6.856110592567874</v>
      </c>
      <c r="K23">
        <v>18494</v>
      </c>
      <c r="L23" s="34">
        <f t="shared" si="3"/>
        <v>4.2670543356514132</v>
      </c>
      <c r="M23">
        <v>36</v>
      </c>
      <c r="N23">
        <f t="shared" si="4"/>
        <v>1.568201724066995</v>
      </c>
    </row>
    <row r="24" spans="1:14" x14ac:dyDescent="0.3">
      <c r="A24" s="33" t="s">
        <v>114</v>
      </c>
      <c r="B24" s="35">
        <v>2018</v>
      </c>
      <c r="C24">
        <v>193.8</v>
      </c>
      <c r="D24" s="33">
        <f t="shared" si="0"/>
        <v>2.2873537727147464</v>
      </c>
      <c r="E24">
        <v>577273</v>
      </c>
      <c r="F24" s="34">
        <f t="shared" si="1"/>
        <v>5.7613812453121973</v>
      </c>
      <c r="G24">
        <v>987643</v>
      </c>
      <c r="H24" s="34">
        <f t="shared" si="1"/>
        <v>5.9945999899842644</v>
      </c>
      <c r="I24">
        <v>2583054</v>
      </c>
      <c r="J24" s="34">
        <f t="shared" ref="J24" si="25">LOG(I24)</f>
        <v>6.4121334854055601</v>
      </c>
      <c r="K24">
        <v>19627</v>
      </c>
      <c r="L24" s="34">
        <f t="shared" si="3"/>
        <v>4.2928760493088776</v>
      </c>
      <c r="M24">
        <v>343</v>
      </c>
      <c r="N24">
        <f t="shared" si="4"/>
        <v>2.53655844257153</v>
      </c>
    </row>
    <row r="25" spans="1:14" x14ac:dyDescent="0.3">
      <c r="A25" s="33" t="s">
        <v>114</v>
      </c>
      <c r="B25" s="35">
        <v>2019</v>
      </c>
      <c r="C25">
        <v>91.5</v>
      </c>
      <c r="D25" s="33">
        <f t="shared" si="0"/>
        <v>1.9614210940664483</v>
      </c>
      <c r="E25">
        <v>378391</v>
      </c>
      <c r="F25" s="34">
        <f t="shared" si="1"/>
        <v>5.5779407981927038</v>
      </c>
      <c r="G25">
        <v>749081</v>
      </c>
      <c r="H25" s="34">
        <f t="shared" si="1"/>
        <v>5.8745287815860232</v>
      </c>
      <c r="I25">
        <v>2211894</v>
      </c>
      <c r="J25" s="34">
        <f t="shared" ref="J25" si="26">LOG(I25)</f>
        <v>6.3447643105539395</v>
      </c>
      <c r="K25">
        <v>19663</v>
      </c>
      <c r="L25" s="34">
        <f t="shared" si="3"/>
        <v>4.2936718655423789</v>
      </c>
      <c r="M25">
        <v>208</v>
      </c>
      <c r="N25">
        <f t="shared" si="4"/>
        <v>2.3201462861110542</v>
      </c>
    </row>
    <row r="26" spans="1:14" x14ac:dyDescent="0.3">
      <c r="A26" s="33" t="s">
        <v>114</v>
      </c>
      <c r="B26" s="35">
        <v>2020</v>
      </c>
      <c r="C26">
        <v>289.89999999999998</v>
      </c>
      <c r="D26" s="33">
        <f t="shared" si="0"/>
        <v>2.4622482153549976</v>
      </c>
      <c r="E26">
        <v>889090</v>
      </c>
      <c r="F26" s="34">
        <f t="shared" si="1"/>
        <v>5.9489457255652622</v>
      </c>
      <c r="G26">
        <v>1326324</v>
      </c>
      <c r="H26" s="34">
        <f t="shared" si="1"/>
        <v>6.1226496283100431</v>
      </c>
      <c r="I26">
        <v>2984212</v>
      </c>
      <c r="J26" s="34">
        <f t="shared" ref="J26" si="27">LOG(I26)</f>
        <v>6.4748296724064351</v>
      </c>
      <c r="K26">
        <v>21489</v>
      </c>
      <c r="L26" s="34">
        <f t="shared" si="3"/>
        <v>4.332236415491443</v>
      </c>
      <c r="M26">
        <v>1355</v>
      </c>
      <c r="N26">
        <f t="shared" si="4"/>
        <v>3.1322596895310446</v>
      </c>
    </row>
    <row r="27" spans="1:14" x14ac:dyDescent="0.3">
      <c r="A27" s="33" t="s">
        <v>115</v>
      </c>
      <c r="B27" s="35">
        <v>2010</v>
      </c>
      <c r="C27">
        <v>709.63636363636363</v>
      </c>
      <c r="D27" s="33">
        <f t="shared" si="0"/>
        <v>2.8510358617870049</v>
      </c>
      <c r="E27">
        <v>12379.522000000001</v>
      </c>
      <c r="F27" s="34">
        <f t="shared" si="1"/>
        <v>4.0927038759627665</v>
      </c>
      <c r="G27">
        <v>16600.183000000001</v>
      </c>
      <c r="H27" s="34">
        <f t="shared" si="1"/>
        <v>4.2201128757178932</v>
      </c>
      <c r="I27">
        <v>22766.635999999999</v>
      </c>
      <c r="J27" s="34">
        <f t="shared" ref="J27" si="28">LOG(I27)</f>
        <v>4.3572988639674453</v>
      </c>
      <c r="K27">
        <v>1059</v>
      </c>
      <c r="L27" s="34">
        <f t="shared" si="3"/>
        <v>3.0253058652647704</v>
      </c>
      <c r="M27">
        <v>3</v>
      </c>
      <c r="N27">
        <f t="shared" si="4"/>
        <v>0.6020599913279624</v>
      </c>
    </row>
    <row r="28" spans="1:14" x14ac:dyDescent="0.3">
      <c r="A28" s="33" t="s">
        <v>115</v>
      </c>
      <c r="B28" s="35">
        <v>2011</v>
      </c>
      <c r="C28">
        <v>494.6</v>
      </c>
      <c r="D28" s="33">
        <f t="shared" si="0"/>
        <v>2.6942541120252783</v>
      </c>
      <c r="E28">
        <v>1892.7629999999999</v>
      </c>
      <c r="F28" s="34">
        <f t="shared" si="1"/>
        <v>3.2770962377166066</v>
      </c>
      <c r="G28">
        <v>5272.05</v>
      </c>
      <c r="H28" s="34">
        <f t="shared" si="1"/>
        <v>3.7219795204442851</v>
      </c>
      <c r="I28">
        <v>74045.875</v>
      </c>
      <c r="J28" s="34">
        <f t="shared" ref="J28" si="29">LOG(I28)</f>
        <v>4.8695008695468021</v>
      </c>
      <c r="K28">
        <v>27327</v>
      </c>
      <c r="L28" s="34">
        <f t="shared" si="3"/>
        <v>4.4366078490089107</v>
      </c>
      <c r="M28">
        <v>0</v>
      </c>
      <c r="N28">
        <f t="shared" si="4"/>
        <v>0</v>
      </c>
    </row>
    <row r="29" spans="1:14" x14ac:dyDescent="0.3">
      <c r="A29" s="33" t="s">
        <v>115</v>
      </c>
      <c r="B29" s="35">
        <v>2012</v>
      </c>
      <c r="C29">
        <v>350.8</v>
      </c>
      <c r="D29" s="33">
        <f t="shared" si="0"/>
        <v>2.5450595846940027</v>
      </c>
      <c r="E29">
        <v>0</v>
      </c>
      <c r="F29" s="34" t="e">
        <f t="shared" si="1"/>
        <v>#NUM!</v>
      </c>
      <c r="G29">
        <v>55159.502</v>
      </c>
      <c r="H29" s="34">
        <f t="shared" si="1"/>
        <v>4.7416203365533356</v>
      </c>
      <c r="I29">
        <v>95563.508000000002</v>
      </c>
      <c r="J29" s="34">
        <f t="shared" ref="J29" si="30">LOG(I29)</f>
        <v>4.9802920837011069</v>
      </c>
      <c r="K29">
        <v>24804</v>
      </c>
      <c r="L29" s="34">
        <f t="shared" si="3"/>
        <v>4.394539231372204</v>
      </c>
      <c r="M29">
        <v>7</v>
      </c>
      <c r="N29">
        <f t="shared" si="4"/>
        <v>0.90308998699194354</v>
      </c>
    </row>
    <row r="30" spans="1:14" x14ac:dyDescent="0.3">
      <c r="A30" s="33" t="s">
        <v>115</v>
      </c>
      <c r="B30" s="35">
        <v>2013</v>
      </c>
      <c r="C30">
        <v>210.1</v>
      </c>
      <c r="D30" s="33">
        <f t="shared" si="0"/>
        <v>2.3224260524059526</v>
      </c>
      <c r="E30">
        <v>11686.675999999999</v>
      </c>
      <c r="F30" s="34">
        <f t="shared" si="1"/>
        <v>4.0676910038789762</v>
      </c>
      <c r="G30">
        <v>18943.951000000001</v>
      </c>
      <c r="H30" s="34">
        <f t="shared" si="1"/>
        <v>4.2774705617078839</v>
      </c>
      <c r="I30">
        <v>54327.233999999997</v>
      </c>
      <c r="J30" s="34">
        <f t="shared" ref="J30" si="31">LOG(I30)</f>
        <v>4.7350175940615751</v>
      </c>
      <c r="K30">
        <v>3811</v>
      </c>
      <c r="L30" s="34">
        <f t="shared" si="3"/>
        <v>3.5811528919662887</v>
      </c>
      <c r="M30">
        <v>0</v>
      </c>
      <c r="N30">
        <f t="shared" si="4"/>
        <v>0</v>
      </c>
    </row>
    <row r="31" spans="1:14" x14ac:dyDescent="0.3">
      <c r="A31" s="33" t="s">
        <v>115</v>
      </c>
      <c r="B31" s="35">
        <v>2014</v>
      </c>
      <c r="C31">
        <v>194.6</v>
      </c>
      <c r="D31" s="33">
        <f t="shared" si="0"/>
        <v>2.2891428359323331</v>
      </c>
      <c r="E31">
        <v>3199.393</v>
      </c>
      <c r="F31" s="34">
        <f t="shared" si="1"/>
        <v>3.5050675902711315</v>
      </c>
      <c r="G31">
        <v>5692.65</v>
      </c>
      <c r="H31" s="34">
        <f t="shared" si="1"/>
        <v>3.755314482996273</v>
      </c>
      <c r="I31">
        <v>17500.705999999998</v>
      </c>
      <c r="J31" s="34">
        <f t="shared" ref="J31" si="32">LOG(I31)</f>
        <v>4.2430555690131282</v>
      </c>
      <c r="K31">
        <v>2287</v>
      </c>
      <c r="L31" s="34">
        <f t="shared" si="3"/>
        <v>3.3594560201209864</v>
      </c>
      <c r="M31">
        <v>0</v>
      </c>
      <c r="N31">
        <f t="shared" si="4"/>
        <v>0</v>
      </c>
    </row>
    <row r="32" spans="1:14" x14ac:dyDescent="0.3">
      <c r="A32" s="33" t="s">
        <v>115</v>
      </c>
      <c r="B32" s="35">
        <v>2015</v>
      </c>
      <c r="C32">
        <v>325.5</v>
      </c>
      <c r="D32" s="33">
        <f t="shared" si="0"/>
        <v>2.5125509929042109</v>
      </c>
      <c r="E32">
        <v>24984.635999999999</v>
      </c>
      <c r="F32" s="34">
        <f t="shared" si="1"/>
        <v>4.3976730266085848</v>
      </c>
      <c r="G32">
        <v>27064.558000000001</v>
      </c>
      <c r="H32" s="34">
        <f t="shared" si="1"/>
        <v>4.4324009388821528</v>
      </c>
      <c r="I32">
        <v>3668.6759999999999</v>
      </c>
      <c r="J32" s="34">
        <f t="shared" ref="J32" si="33">LOG(I32)</f>
        <v>3.5645093586282743</v>
      </c>
      <c r="K32">
        <v>7224</v>
      </c>
      <c r="L32" s="34">
        <f t="shared" si="3"/>
        <v>3.8588378514285853</v>
      </c>
      <c r="M32">
        <v>0</v>
      </c>
      <c r="N32">
        <f t="shared" si="4"/>
        <v>0</v>
      </c>
    </row>
    <row r="33" spans="1:14" x14ac:dyDescent="0.3">
      <c r="A33" s="33" t="s">
        <v>115</v>
      </c>
      <c r="B33" s="35">
        <v>2016</v>
      </c>
      <c r="C33">
        <v>448.8</v>
      </c>
      <c r="D33" s="33">
        <f t="shared" si="0"/>
        <v>2.6520528482481049</v>
      </c>
      <c r="E33">
        <v>52838.879000000001</v>
      </c>
      <c r="F33" s="34">
        <f t="shared" si="1"/>
        <v>4.7229535952922532</v>
      </c>
      <c r="G33">
        <v>56106.699000000001</v>
      </c>
      <c r="H33" s="34">
        <f t="shared" si="1"/>
        <v>4.7490147180305549</v>
      </c>
      <c r="I33">
        <v>81010.047000000006</v>
      </c>
      <c r="J33" s="34">
        <f t="shared" ref="J33" si="34">LOG(I33)</f>
        <v>4.908538884138812</v>
      </c>
      <c r="K33">
        <v>4575</v>
      </c>
      <c r="L33" s="34">
        <f t="shared" si="3"/>
        <v>3.6604860157849677</v>
      </c>
      <c r="M33">
        <v>46</v>
      </c>
      <c r="N33">
        <f t="shared" si="4"/>
        <v>1.6720978579357175</v>
      </c>
    </row>
    <row r="34" spans="1:14" x14ac:dyDescent="0.3">
      <c r="A34" s="33" t="s">
        <v>115</v>
      </c>
      <c r="B34" s="35">
        <v>2017</v>
      </c>
      <c r="C34">
        <v>401.67272727272734</v>
      </c>
      <c r="D34" s="33">
        <f t="shared" si="0"/>
        <v>2.603872345057396</v>
      </c>
      <c r="E34">
        <v>2330.3310000000001</v>
      </c>
      <c r="F34" s="34">
        <f t="shared" si="1"/>
        <v>3.3674176125555486</v>
      </c>
      <c r="G34">
        <v>7058.4939999999997</v>
      </c>
      <c r="H34" s="34">
        <f t="shared" si="1"/>
        <v>3.8487120498820362</v>
      </c>
      <c r="I34">
        <v>137902.81400000001</v>
      </c>
      <c r="J34" s="34">
        <f t="shared" ref="J34" si="35">LOG(I34)</f>
        <v>5.1395731283383084</v>
      </c>
      <c r="K34">
        <v>3205</v>
      </c>
      <c r="L34" s="34">
        <f t="shared" si="3"/>
        <v>3.5059635180181261</v>
      </c>
      <c r="M34">
        <v>0</v>
      </c>
      <c r="N34">
        <f t="shared" si="4"/>
        <v>0</v>
      </c>
    </row>
    <row r="35" spans="1:14" x14ac:dyDescent="0.3">
      <c r="A35" s="33" t="s">
        <v>115</v>
      </c>
      <c r="B35" s="35">
        <v>2018</v>
      </c>
      <c r="C35">
        <v>148.80000000000001</v>
      </c>
      <c r="D35" s="33">
        <f t="shared" si="0"/>
        <v>2.1726029312098598</v>
      </c>
      <c r="E35">
        <v>2563.0010000000002</v>
      </c>
      <c r="F35" s="34">
        <f t="shared" si="1"/>
        <v>3.4087487756319215</v>
      </c>
      <c r="G35">
        <v>6961.3270000000002</v>
      </c>
      <c r="H35" s="34">
        <f t="shared" si="1"/>
        <v>3.8426920347031897</v>
      </c>
      <c r="I35">
        <v>34835.921999999999</v>
      </c>
      <c r="J35" s="34">
        <f t="shared" ref="J35" si="36">LOG(I35)</f>
        <v>4.5420273094654879</v>
      </c>
      <c r="K35">
        <v>1240</v>
      </c>
      <c r="L35" s="34">
        <f t="shared" si="3"/>
        <v>3.09377178149873</v>
      </c>
      <c r="M35">
        <v>0</v>
      </c>
      <c r="N35">
        <f t="shared" si="4"/>
        <v>0</v>
      </c>
    </row>
    <row r="36" spans="1:14" x14ac:dyDescent="0.3">
      <c r="A36" s="33" t="s">
        <v>115</v>
      </c>
      <c r="B36" s="35">
        <v>2019</v>
      </c>
      <c r="C36">
        <v>200.13333333333335</v>
      </c>
      <c r="D36" s="33">
        <f t="shared" si="0"/>
        <v>2.3013194288515706</v>
      </c>
      <c r="E36">
        <v>1613.5129999999999</v>
      </c>
      <c r="F36" s="34">
        <f t="shared" si="1"/>
        <v>3.2077724688446776</v>
      </c>
      <c r="G36">
        <v>11475.462</v>
      </c>
      <c r="H36" s="34">
        <f t="shared" si="1"/>
        <v>4.0597701791776331</v>
      </c>
      <c r="I36">
        <v>26991.26</v>
      </c>
      <c r="J36" s="34">
        <f t="shared" ref="J36" si="37">LOG(I36)</f>
        <v>4.4312231586682103</v>
      </c>
      <c r="K36">
        <v>1272</v>
      </c>
      <c r="L36" s="34">
        <f t="shared" si="3"/>
        <v>3.1048284036536553</v>
      </c>
      <c r="M36">
        <v>0</v>
      </c>
      <c r="N36">
        <f t="shared" si="4"/>
        <v>0</v>
      </c>
    </row>
    <row r="37" spans="1:14" x14ac:dyDescent="0.3">
      <c r="A37" s="33" t="s">
        <v>115</v>
      </c>
      <c r="B37" s="35">
        <v>2020</v>
      </c>
      <c r="C37">
        <v>406</v>
      </c>
      <c r="D37" s="33">
        <f t="shared" si="0"/>
        <v>2.6085260335771943</v>
      </c>
      <c r="E37">
        <v>21737.867999999999</v>
      </c>
      <c r="F37" s="34">
        <f t="shared" si="1"/>
        <v>4.3372169472369464</v>
      </c>
      <c r="G37">
        <v>25109.280999999999</v>
      </c>
      <c r="H37" s="34">
        <f t="shared" si="1"/>
        <v>4.3998342769421868</v>
      </c>
      <c r="I37">
        <v>35146.091</v>
      </c>
      <c r="J37" s="34">
        <f t="shared" ref="J37" si="38">LOG(I37)</f>
        <v>4.5458770291699473</v>
      </c>
      <c r="K37">
        <v>7168</v>
      </c>
      <c r="L37" s="34">
        <f t="shared" si="3"/>
        <v>3.8554585803860362</v>
      </c>
      <c r="M37">
        <v>9</v>
      </c>
      <c r="N37">
        <f t="shared" si="4"/>
        <v>1</v>
      </c>
    </row>
    <row r="38" spans="1:14" x14ac:dyDescent="0.3">
      <c r="A38" s="33" t="s">
        <v>4</v>
      </c>
      <c r="B38" s="35">
        <v>2010</v>
      </c>
      <c r="C38">
        <v>713.6</v>
      </c>
      <c r="D38" s="33">
        <f t="shared" si="0"/>
        <v>2.8534548413680665</v>
      </c>
      <c r="E38">
        <v>88511.046000000002</v>
      </c>
      <c r="F38" s="34">
        <f t="shared" si="1"/>
        <v>4.946997473155375</v>
      </c>
      <c r="G38">
        <v>89537.001999999993</v>
      </c>
      <c r="H38" s="34">
        <f t="shared" si="1"/>
        <v>4.9520025486507944</v>
      </c>
      <c r="I38">
        <v>114175.428</v>
      </c>
      <c r="J38" s="34">
        <f t="shared" ref="J38" si="39">LOG(I38)</f>
        <v>5.057572648285956</v>
      </c>
      <c r="K38">
        <v>6887</v>
      </c>
      <c r="L38" s="34">
        <f t="shared" si="3"/>
        <v>3.8380931384455983</v>
      </c>
      <c r="M38" s="34">
        <v>13</v>
      </c>
      <c r="N38">
        <f t="shared" si="4"/>
        <v>1.146128035678238</v>
      </c>
    </row>
    <row r="39" spans="1:14" x14ac:dyDescent="0.3">
      <c r="A39" s="33" t="s">
        <v>4</v>
      </c>
      <c r="B39" s="35">
        <v>2011</v>
      </c>
      <c r="C39">
        <v>953.2</v>
      </c>
      <c r="D39" s="33">
        <f t="shared" si="0"/>
        <v>2.9791840336744184</v>
      </c>
      <c r="E39">
        <v>17458.982</v>
      </c>
      <c r="F39" s="34">
        <f t="shared" si="1"/>
        <v>4.2420189172234073</v>
      </c>
      <c r="G39">
        <v>27571.917000000001</v>
      </c>
      <c r="H39" s="34">
        <f t="shared" si="1"/>
        <v>4.4404669624633701</v>
      </c>
      <c r="I39">
        <v>163662.20000000001</v>
      </c>
      <c r="J39" s="34">
        <f t="shared" ref="J39" si="40">LOG(I39)</f>
        <v>5.2139483848056072</v>
      </c>
      <c r="K39">
        <v>13021</v>
      </c>
      <c r="L39" s="34">
        <f t="shared" si="3"/>
        <v>4.1146776910108782</v>
      </c>
      <c r="M39" s="34">
        <v>6</v>
      </c>
      <c r="N39">
        <f t="shared" si="4"/>
        <v>0.84509804001425681</v>
      </c>
    </row>
    <row r="40" spans="1:14" x14ac:dyDescent="0.3">
      <c r="A40" s="33" t="s">
        <v>4</v>
      </c>
      <c r="B40" s="35">
        <v>2012</v>
      </c>
      <c r="C40">
        <v>721.6</v>
      </c>
      <c r="D40" s="33">
        <f t="shared" si="0"/>
        <v>2.8582965245338854</v>
      </c>
      <c r="E40">
        <v>41526.900999999998</v>
      </c>
      <c r="F40" s="34">
        <f t="shared" si="1"/>
        <v>4.6183295225180849</v>
      </c>
      <c r="G40">
        <v>106822.247</v>
      </c>
      <c r="H40" s="34">
        <f t="shared" si="1"/>
        <v>5.0286617090893735</v>
      </c>
      <c r="I40">
        <v>1132490.0889999999</v>
      </c>
      <c r="J40" s="34">
        <f t="shared" ref="J40" si="41">LOG(I40)</f>
        <v>6.0540344099683621</v>
      </c>
      <c r="K40">
        <v>4903</v>
      </c>
      <c r="L40" s="34">
        <f t="shared" si="3"/>
        <v>3.6905504615103588</v>
      </c>
      <c r="M40" s="34">
        <v>2</v>
      </c>
      <c r="N40">
        <f t="shared" si="4"/>
        <v>0.47712125471966244</v>
      </c>
    </row>
    <row r="41" spans="1:14" x14ac:dyDescent="0.3">
      <c r="A41" s="33" t="s">
        <v>4</v>
      </c>
      <c r="B41" s="35">
        <v>2014</v>
      </c>
      <c r="C41">
        <v>536.79999999999995</v>
      </c>
      <c r="D41" s="33">
        <f t="shared" si="0"/>
        <v>2.7298125071609358</v>
      </c>
      <c r="E41">
        <v>16826.871999999999</v>
      </c>
      <c r="F41" s="34">
        <f t="shared" si="1"/>
        <v>4.2260033911156345</v>
      </c>
      <c r="G41">
        <v>19936.914000000001</v>
      </c>
      <c r="H41" s="34">
        <f t="shared" si="1"/>
        <v>4.2996579354955999</v>
      </c>
      <c r="I41">
        <v>99067.357000000004</v>
      </c>
      <c r="J41" s="34">
        <f t="shared" ref="J41" si="42">LOG(I41)</f>
        <v>4.9959305766836071</v>
      </c>
      <c r="K41">
        <v>2057</v>
      </c>
      <c r="L41" s="34">
        <f t="shared" si="3"/>
        <v>3.3134453704264142</v>
      </c>
      <c r="M41" s="34">
        <v>0</v>
      </c>
      <c r="N41">
        <f t="shared" si="4"/>
        <v>0</v>
      </c>
    </row>
    <row r="42" spans="1:14" x14ac:dyDescent="0.3">
      <c r="A42" s="33" t="s">
        <v>4</v>
      </c>
      <c r="B42" s="35">
        <v>2015</v>
      </c>
      <c r="C42">
        <v>610.4</v>
      </c>
      <c r="D42" s="33">
        <f t="shared" si="0"/>
        <v>2.785614524946824</v>
      </c>
      <c r="E42">
        <v>34449.129000000001</v>
      </c>
      <c r="F42" s="34">
        <f t="shared" si="1"/>
        <v>4.5371782458292547</v>
      </c>
      <c r="G42">
        <v>47453.404000000002</v>
      </c>
      <c r="H42" s="34">
        <f t="shared" si="1"/>
        <v>4.6762673713553431</v>
      </c>
      <c r="I42">
        <v>134839.33199999999</v>
      </c>
      <c r="J42" s="34">
        <f t="shared" ref="J42" si="43">LOG(I42)</f>
        <v>5.129816592340239</v>
      </c>
      <c r="K42">
        <v>1027</v>
      </c>
      <c r="L42" s="34">
        <f t="shared" si="3"/>
        <v>3.0119931146592571</v>
      </c>
      <c r="M42" s="34">
        <v>0</v>
      </c>
      <c r="N42">
        <f t="shared" si="4"/>
        <v>0</v>
      </c>
    </row>
    <row r="43" spans="1:14" x14ac:dyDescent="0.3">
      <c r="A43" s="33" t="s">
        <v>4</v>
      </c>
      <c r="B43" s="35">
        <v>2016</v>
      </c>
      <c r="C43">
        <v>673.6</v>
      </c>
      <c r="D43" s="33">
        <f t="shared" si="0"/>
        <v>2.8284020784915933</v>
      </c>
      <c r="E43">
        <v>171721.17</v>
      </c>
      <c r="F43" s="34">
        <f t="shared" si="1"/>
        <v>5.2348238388268094</v>
      </c>
      <c r="G43">
        <v>192799.38099999999</v>
      </c>
      <c r="H43" s="34">
        <f t="shared" si="1"/>
        <v>5.2851056352269996</v>
      </c>
      <c r="I43">
        <v>224733.171</v>
      </c>
      <c r="J43" s="34">
        <f t="shared" ref="J43" si="44">LOG(I43)</f>
        <v>5.3516671797579498</v>
      </c>
      <c r="K43">
        <v>2454</v>
      </c>
      <c r="L43" s="34">
        <f t="shared" si="3"/>
        <v>3.3900514964589874</v>
      </c>
      <c r="M43" s="34">
        <v>343</v>
      </c>
      <c r="N43">
        <f t="shared" si="4"/>
        <v>2.53655844257153</v>
      </c>
    </row>
    <row r="44" spans="1:14" x14ac:dyDescent="0.3">
      <c r="A44" s="33" t="s">
        <v>4</v>
      </c>
      <c r="B44" s="35">
        <v>2017</v>
      </c>
      <c r="C44">
        <v>548.4</v>
      </c>
      <c r="D44" s="33">
        <f t="shared" si="0"/>
        <v>2.7390974461174751</v>
      </c>
      <c r="E44">
        <v>20682.080000000002</v>
      </c>
      <c r="F44" s="34">
        <f t="shared" si="1"/>
        <v>4.3155942136818997</v>
      </c>
      <c r="G44">
        <v>33076.773000000001</v>
      </c>
      <c r="H44" s="34">
        <f t="shared" si="1"/>
        <v>4.5195231327833163</v>
      </c>
      <c r="I44">
        <v>117081.378</v>
      </c>
      <c r="J44" s="34">
        <f t="shared" ref="J44" si="45">LOG(I44)</f>
        <v>5.068487825260509</v>
      </c>
      <c r="K44">
        <v>2005</v>
      </c>
      <c r="L44" s="34">
        <f t="shared" si="3"/>
        <v>3.3023309286843991</v>
      </c>
      <c r="M44" s="34">
        <v>0</v>
      </c>
      <c r="N44">
        <f t="shared" si="4"/>
        <v>0</v>
      </c>
    </row>
    <row r="45" spans="1:14" x14ac:dyDescent="0.3">
      <c r="A45" s="33" t="s">
        <v>4</v>
      </c>
      <c r="B45" s="35">
        <v>2018</v>
      </c>
      <c r="C45">
        <v>385.4</v>
      </c>
      <c r="D45" s="33">
        <f t="shared" si="0"/>
        <v>2.5859117103194342</v>
      </c>
      <c r="E45">
        <v>46682.39</v>
      </c>
      <c r="F45" s="34">
        <f t="shared" si="1"/>
        <v>4.6691530825327359</v>
      </c>
      <c r="G45">
        <v>48694.377</v>
      </c>
      <c r="H45" s="34">
        <f t="shared" si="1"/>
        <v>4.6874788138046979</v>
      </c>
      <c r="I45">
        <v>110982.526</v>
      </c>
      <c r="J45" s="34">
        <f t="shared" ref="J45" si="46">LOG(I45)</f>
        <v>5.0452546052806051</v>
      </c>
      <c r="K45">
        <v>12472</v>
      </c>
      <c r="L45" s="34">
        <f t="shared" si="3"/>
        <v>4.0959709223437146</v>
      </c>
      <c r="M45" s="34">
        <v>0</v>
      </c>
      <c r="N45">
        <f t="shared" si="4"/>
        <v>0</v>
      </c>
    </row>
    <row r="46" spans="1:14" x14ac:dyDescent="0.3">
      <c r="A46" s="33" t="s">
        <v>4</v>
      </c>
      <c r="B46" s="35">
        <v>2019</v>
      </c>
      <c r="C46">
        <v>189</v>
      </c>
      <c r="D46" s="33">
        <f t="shared" si="0"/>
        <v>2.2764618041732443</v>
      </c>
      <c r="E46">
        <v>324.822</v>
      </c>
      <c r="F46" s="34">
        <f t="shared" si="1"/>
        <v>2.5116454360710927</v>
      </c>
      <c r="G46">
        <v>3746.4560000000001</v>
      </c>
      <c r="H46" s="34">
        <f t="shared" si="1"/>
        <v>3.5736206364217975</v>
      </c>
      <c r="I46">
        <v>39548.727999999996</v>
      </c>
      <c r="J46" s="34">
        <f t="shared" ref="J46" si="47">LOG(I46)</f>
        <v>4.5971325199079143</v>
      </c>
      <c r="K46">
        <v>1012</v>
      </c>
      <c r="L46" s="34">
        <f t="shared" si="3"/>
        <v>3.0056094453602804</v>
      </c>
      <c r="M46" s="34">
        <v>0</v>
      </c>
      <c r="N46">
        <f t="shared" si="4"/>
        <v>0</v>
      </c>
    </row>
    <row r="47" spans="1:14" x14ac:dyDescent="0.3">
      <c r="A47" s="33" t="s">
        <v>4</v>
      </c>
      <c r="B47" s="35">
        <v>2020</v>
      </c>
      <c r="C47">
        <v>656.4</v>
      </c>
      <c r="D47" s="33">
        <f t="shared" si="0"/>
        <v>2.8171685723810556</v>
      </c>
      <c r="E47">
        <v>7455.56</v>
      </c>
      <c r="F47" s="34">
        <f t="shared" si="1"/>
        <v>3.8724802696234688</v>
      </c>
      <c r="G47">
        <v>15352.933000000001</v>
      </c>
      <c r="H47" s="34">
        <f t="shared" si="1"/>
        <v>4.1861913546690142</v>
      </c>
      <c r="I47">
        <v>56074.989000000001</v>
      </c>
      <c r="J47" s="34">
        <f t="shared" ref="J47" si="48">LOG(I47)</f>
        <v>4.7487691970612511</v>
      </c>
      <c r="K47">
        <v>10602</v>
      </c>
      <c r="L47" s="34">
        <f t="shared" si="3"/>
        <v>4.025428761407241</v>
      </c>
      <c r="M47" s="34">
        <v>0</v>
      </c>
      <c r="N47">
        <f t="shared" si="4"/>
        <v>0</v>
      </c>
    </row>
    <row r="48" spans="1:14" x14ac:dyDescent="0.3">
      <c r="A48" s="33" t="s">
        <v>116</v>
      </c>
      <c r="B48">
        <v>2007</v>
      </c>
      <c r="C48">
        <v>309.95999999999992</v>
      </c>
      <c r="D48" s="33">
        <f t="shared" si="0"/>
        <v>2.4913056522209418</v>
      </c>
      <c r="E48">
        <v>461381.33</v>
      </c>
      <c r="F48" s="34">
        <f t="shared" si="1"/>
        <v>5.6640600166219466</v>
      </c>
      <c r="G48">
        <v>747768.74</v>
      </c>
      <c r="H48" s="34">
        <f t="shared" si="1"/>
        <v>5.8737673057910955</v>
      </c>
      <c r="I48">
        <v>1774339.68</v>
      </c>
      <c r="J48" s="34">
        <f t="shared" ref="J48" si="49">LOG(I48)</f>
        <v>6.2490367648914065</v>
      </c>
      <c r="K48">
        <v>16121</v>
      </c>
      <c r="L48" s="34">
        <f t="shared" si="3"/>
        <v>4.2074189168168123</v>
      </c>
      <c r="M48">
        <v>0</v>
      </c>
      <c r="N48">
        <f t="shared" si="4"/>
        <v>0</v>
      </c>
    </row>
    <row r="49" spans="1:14" x14ac:dyDescent="0.3">
      <c r="A49" s="33" t="s">
        <v>116</v>
      </c>
      <c r="B49">
        <v>2008</v>
      </c>
      <c r="C49">
        <v>157.30909090909088</v>
      </c>
      <c r="D49" s="33">
        <f t="shared" si="0"/>
        <v>2.1967538212728099</v>
      </c>
      <c r="E49">
        <v>235432.77</v>
      </c>
      <c r="F49" s="34">
        <f t="shared" si="1"/>
        <v>5.3718669123717246</v>
      </c>
      <c r="G49">
        <v>477221.39</v>
      </c>
      <c r="H49" s="34">
        <f t="shared" si="1"/>
        <v>5.6787199013662351</v>
      </c>
      <c r="I49">
        <v>1207892.3900000001</v>
      </c>
      <c r="J49" s="34">
        <f t="shared" ref="J49" si="50">LOG(I49)</f>
        <v>6.0820282451204619</v>
      </c>
      <c r="K49">
        <v>2618</v>
      </c>
      <c r="L49" s="34">
        <f t="shared" si="3"/>
        <v>3.4181354984252321</v>
      </c>
      <c r="M49">
        <v>0</v>
      </c>
      <c r="N49">
        <f t="shared" si="4"/>
        <v>0</v>
      </c>
    </row>
    <row r="50" spans="1:14" x14ac:dyDescent="0.3">
      <c r="A50" s="33" t="s">
        <v>116</v>
      </c>
      <c r="B50">
        <v>2009</v>
      </c>
      <c r="C50">
        <v>258.79999999999995</v>
      </c>
      <c r="D50" s="33">
        <f t="shared" si="0"/>
        <v>2.4129642719966626</v>
      </c>
      <c r="E50">
        <v>323092.17</v>
      </c>
      <c r="F50" s="34">
        <f t="shared" si="1"/>
        <v>5.5093264332048983</v>
      </c>
      <c r="G50">
        <v>660415.12</v>
      </c>
      <c r="H50" s="34">
        <f t="shared" si="1"/>
        <v>5.8198170077424765</v>
      </c>
      <c r="I50">
        <v>1454504.2</v>
      </c>
      <c r="J50" s="34">
        <f t="shared" ref="J50" si="51">LOG(I50)</f>
        <v>6.1627149796457736</v>
      </c>
      <c r="K50">
        <v>535</v>
      </c>
      <c r="L50" s="34">
        <f t="shared" si="3"/>
        <v>2.7291647896927702</v>
      </c>
      <c r="M50">
        <v>2</v>
      </c>
      <c r="N50">
        <f t="shared" si="4"/>
        <v>0.47712125471966244</v>
      </c>
    </row>
    <row r="51" spans="1:14" x14ac:dyDescent="0.3">
      <c r="A51" s="33" t="s">
        <v>116</v>
      </c>
      <c r="B51">
        <v>2010</v>
      </c>
      <c r="C51">
        <v>493.2</v>
      </c>
      <c r="D51" s="33">
        <f t="shared" si="0"/>
        <v>2.6930230679236939</v>
      </c>
      <c r="E51">
        <v>1751962.24</v>
      </c>
      <c r="F51" s="34">
        <f t="shared" si="1"/>
        <v>6.2435247415944142</v>
      </c>
      <c r="G51">
        <v>2066531.3399999999</v>
      </c>
      <c r="H51" s="34">
        <f t="shared" si="1"/>
        <v>6.3152419959646204</v>
      </c>
      <c r="I51">
        <v>3276773.44</v>
      </c>
      <c r="J51" s="34">
        <f t="shared" ref="J51" si="52">LOG(I51)</f>
        <v>6.5154464147851003</v>
      </c>
      <c r="K51">
        <v>296</v>
      </c>
      <c r="L51" s="34">
        <f t="shared" si="3"/>
        <v>2.4727564493172123</v>
      </c>
      <c r="M51">
        <v>15</v>
      </c>
      <c r="N51">
        <f t="shared" si="4"/>
        <v>1.2041199826559248</v>
      </c>
    </row>
    <row r="52" spans="1:14" x14ac:dyDescent="0.3">
      <c r="A52" s="33" t="s">
        <v>116</v>
      </c>
      <c r="B52">
        <v>2011</v>
      </c>
      <c r="C52">
        <v>469.85454545454542</v>
      </c>
      <c r="D52" s="33">
        <f t="shared" si="0"/>
        <v>2.6719634326519999</v>
      </c>
      <c r="E52">
        <v>2849126.47</v>
      </c>
      <c r="F52" s="34">
        <f t="shared" si="1"/>
        <v>6.4547117275841837</v>
      </c>
      <c r="G52">
        <v>4743283.6500000004</v>
      </c>
      <c r="H52" s="34">
        <f t="shared" si="1"/>
        <v>6.6760790963884071</v>
      </c>
      <c r="I52">
        <v>13059548.99</v>
      </c>
      <c r="J52" s="34">
        <f t="shared" ref="J52" si="53">LOG(I52)</f>
        <v>7.115928178888792</v>
      </c>
      <c r="K52">
        <v>1349</v>
      </c>
      <c r="L52" s="34">
        <f t="shared" si="3"/>
        <v>3.1303337684950061</v>
      </c>
      <c r="M52">
        <v>4</v>
      </c>
      <c r="N52">
        <f t="shared" si="4"/>
        <v>0.69897000433601886</v>
      </c>
    </row>
    <row r="53" spans="1:14" x14ac:dyDescent="0.3">
      <c r="A53" s="33" t="s">
        <v>116</v>
      </c>
      <c r="B53">
        <v>2012</v>
      </c>
      <c r="C53">
        <v>186.5</v>
      </c>
      <c r="D53" s="33">
        <f t="shared" si="0"/>
        <v>2.2706788361447066</v>
      </c>
      <c r="E53">
        <v>3645271.66</v>
      </c>
      <c r="F53" s="34">
        <f t="shared" si="1"/>
        <v>6.56172989919519</v>
      </c>
      <c r="G53">
        <v>5802390.9800000004</v>
      </c>
      <c r="H53" s="34">
        <f t="shared" si="1"/>
        <v>6.7636069893297286</v>
      </c>
      <c r="I53">
        <v>8471654.7400000002</v>
      </c>
      <c r="J53" s="34">
        <f t="shared" ref="J53" si="54">LOG(I53)</f>
        <v>6.9279682479058193</v>
      </c>
      <c r="K53">
        <v>923</v>
      </c>
      <c r="L53" s="34">
        <f t="shared" si="3"/>
        <v>2.9656719712201065</v>
      </c>
      <c r="M53">
        <v>0</v>
      </c>
      <c r="N53">
        <f t="shared" si="4"/>
        <v>0</v>
      </c>
    </row>
    <row r="54" spans="1:14" x14ac:dyDescent="0.3">
      <c r="A54" s="33" t="s">
        <v>116</v>
      </c>
      <c r="B54">
        <v>2013</v>
      </c>
      <c r="C54">
        <v>280</v>
      </c>
      <c r="D54" s="33">
        <f t="shared" si="0"/>
        <v>2.4471580313422194</v>
      </c>
      <c r="E54">
        <v>1532727.27</v>
      </c>
      <c r="F54" s="34">
        <f t="shared" si="1"/>
        <v>6.1854648843577325</v>
      </c>
      <c r="G54">
        <v>2068559.28</v>
      </c>
      <c r="H54" s="34">
        <f t="shared" si="1"/>
        <v>6.3156679712590815</v>
      </c>
      <c r="I54">
        <v>3552126.8200000003</v>
      </c>
      <c r="J54" s="34">
        <f t="shared" ref="J54" si="55">LOG(I54)</f>
        <v>6.5504884628056015</v>
      </c>
      <c r="K54">
        <v>138</v>
      </c>
      <c r="L54" s="34">
        <f t="shared" si="3"/>
        <v>2.143014800254095</v>
      </c>
      <c r="M54">
        <v>0</v>
      </c>
      <c r="N54">
        <f t="shared" si="4"/>
        <v>0</v>
      </c>
    </row>
    <row r="55" spans="1:14" x14ac:dyDescent="0.3">
      <c r="A55" s="33" t="s">
        <v>116</v>
      </c>
      <c r="B55">
        <v>2014</v>
      </c>
      <c r="C55">
        <v>237.60000000000002</v>
      </c>
      <c r="D55" s="33">
        <f t="shared" si="0"/>
        <v>2.375846436309156</v>
      </c>
      <c r="E55">
        <v>1143999.6299999999</v>
      </c>
      <c r="F55" s="34">
        <f t="shared" si="1"/>
        <v>6.0584258839946061</v>
      </c>
      <c r="G55">
        <v>1673403.8399999999</v>
      </c>
      <c r="H55" s="34">
        <f t="shared" si="1"/>
        <v>6.2236007612368196</v>
      </c>
      <c r="I55">
        <v>3384307.94</v>
      </c>
      <c r="J55" s="34">
        <f t="shared" ref="J55" si="56">LOG(I55)</f>
        <v>6.5294698728534479</v>
      </c>
      <c r="K55">
        <v>2308</v>
      </c>
      <c r="L55" s="34">
        <f t="shared" si="3"/>
        <v>3.3634239329171765</v>
      </c>
      <c r="M55">
        <v>53</v>
      </c>
      <c r="N55">
        <f t="shared" si="4"/>
        <v>1.7323937598229686</v>
      </c>
    </row>
    <row r="56" spans="1:14" x14ac:dyDescent="0.3">
      <c r="A56" s="33" t="s">
        <v>116</v>
      </c>
      <c r="B56">
        <v>2015</v>
      </c>
      <c r="C56">
        <v>202.9</v>
      </c>
      <c r="D56" s="33">
        <f t="shared" si="0"/>
        <v>2.3072820470333459</v>
      </c>
      <c r="E56">
        <v>1031825.15</v>
      </c>
      <c r="F56" s="34">
        <f t="shared" si="1"/>
        <v>6.0136061092836597</v>
      </c>
      <c r="G56">
        <v>1873554.19</v>
      </c>
      <c r="H56" s="34">
        <f t="shared" si="1"/>
        <v>6.2726662589871269</v>
      </c>
      <c r="I56">
        <v>3510001.98</v>
      </c>
      <c r="J56" s="34">
        <f t="shared" ref="J56" si="57">LOG(I56)</f>
        <v>6.5453073614523856</v>
      </c>
      <c r="K56">
        <v>2802</v>
      </c>
      <c r="L56" s="34">
        <f t="shared" si="3"/>
        <v>3.4476230977602862</v>
      </c>
      <c r="M56">
        <v>0</v>
      </c>
      <c r="N56">
        <f t="shared" si="4"/>
        <v>0</v>
      </c>
    </row>
    <row r="57" spans="1:14" x14ac:dyDescent="0.3">
      <c r="A57" s="33" t="s">
        <v>116</v>
      </c>
      <c r="B57">
        <v>2016</v>
      </c>
      <c r="C57">
        <v>266.25</v>
      </c>
      <c r="D57" s="33">
        <f t="shared" si="0"/>
        <v>2.4252896164467943</v>
      </c>
      <c r="E57">
        <v>2986009.27</v>
      </c>
      <c r="F57" s="34">
        <f t="shared" si="1"/>
        <v>6.4750911516487513</v>
      </c>
      <c r="G57">
        <v>3786452.41</v>
      </c>
      <c r="H57" s="34">
        <f t="shared" si="1"/>
        <v>6.5782325027678477</v>
      </c>
      <c r="I57">
        <v>5370080.7999999998</v>
      </c>
      <c r="J57" s="34">
        <f t="shared" ref="J57" si="58">LOG(I57)</f>
        <v>6.7299808202861744</v>
      </c>
      <c r="K57">
        <v>130</v>
      </c>
      <c r="L57" s="34">
        <f t="shared" si="3"/>
        <v>2.1172712956557644</v>
      </c>
      <c r="M57">
        <v>0</v>
      </c>
      <c r="N57">
        <f t="shared" si="4"/>
        <v>0</v>
      </c>
    </row>
    <row r="58" spans="1:14" x14ac:dyDescent="0.3">
      <c r="A58" s="33" t="s">
        <v>116</v>
      </c>
      <c r="B58">
        <v>2017</v>
      </c>
      <c r="C58">
        <v>341</v>
      </c>
      <c r="D58" s="33">
        <f t="shared" si="0"/>
        <v>2.5327543789924976</v>
      </c>
      <c r="E58">
        <v>1042862.48</v>
      </c>
      <c r="F58" s="34">
        <f t="shared" si="1"/>
        <v>6.0182270427363802</v>
      </c>
      <c r="G58">
        <v>1707890.81</v>
      </c>
      <c r="H58" s="34">
        <f t="shared" si="1"/>
        <v>6.2324601016396901</v>
      </c>
      <c r="I58">
        <v>7287105.3699999992</v>
      </c>
      <c r="J58" s="34">
        <f t="shared" ref="J58" si="59">LOG(I58)</f>
        <v>6.8625550493764065</v>
      </c>
      <c r="K58">
        <v>2545</v>
      </c>
      <c r="L58" s="34">
        <f t="shared" si="3"/>
        <v>3.4058583993176366</v>
      </c>
      <c r="M58">
        <v>9</v>
      </c>
      <c r="N58">
        <f t="shared" si="4"/>
        <v>1</v>
      </c>
    </row>
    <row r="59" spans="1:14" x14ac:dyDescent="0.3">
      <c r="A59" s="33" t="s">
        <v>116</v>
      </c>
      <c r="B59">
        <v>2018</v>
      </c>
      <c r="C59">
        <v>148.03636363636363</v>
      </c>
      <c r="D59" s="33">
        <f t="shared" si="0"/>
        <v>2.170368408549137</v>
      </c>
      <c r="E59">
        <v>736391.98</v>
      </c>
      <c r="F59" s="34">
        <f t="shared" si="1"/>
        <v>5.8671090499831022</v>
      </c>
      <c r="G59">
        <v>1434514.12</v>
      </c>
      <c r="H59" s="34">
        <f t="shared" si="1"/>
        <v>6.1567048273871094</v>
      </c>
      <c r="I59">
        <v>3118688.26</v>
      </c>
      <c r="J59" s="34">
        <f t="shared" ref="J59" si="60">LOG(I59)</f>
        <v>6.4939719654182166</v>
      </c>
      <c r="K59">
        <v>1908</v>
      </c>
      <c r="L59" s="34">
        <f t="shared" si="3"/>
        <v>3.2808059283936668</v>
      </c>
      <c r="M59">
        <v>0</v>
      </c>
      <c r="N59">
        <f t="shared" si="4"/>
        <v>0</v>
      </c>
    </row>
    <row r="60" spans="1:14" x14ac:dyDescent="0.3">
      <c r="A60" s="33" t="s">
        <v>116</v>
      </c>
      <c r="B60">
        <v>2019</v>
      </c>
      <c r="C60">
        <v>148.80000000000001</v>
      </c>
      <c r="D60" s="33">
        <f t="shared" si="0"/>
        <v>2.1726029312098598</v>
      </c>
      <c r="E60">
        <v>1105900.82</v>
      </c>
      <c r="F60" s="34">
        <f t="shared" si="1"/>
        <v>6.0437161800806862</v>
      </c>
      <c r="G60">
        <v>1753748.01</v>
      </c>
      <c r="H60" s="34">
        <f t="shared" si="1"/>
        <v>6.2439671912372665</v>
      </c>
      <c r="I60">
        <v>3589424.08</v>
      </c>
      <c r="J60" s="34">
        <f t="shared" ref="J60" si="61">LOG(I60)</f>
        <v>6.5550247719926302</v>
      </c>
      <c r="K60">
        <v>1132</v>
      </c>
      <c r="L60" s="34">
        <f t="shared" si="3"/>
        <v>3.0542299098633974</v>
      </c>
      <c r="M60">
        <v>0</v>
      </c>
      <c r="N60">
        <f t="shared" si="4"/>
        <v>0</v>
      </c>
    </row>
    <row r="61" spans="1:14" x14ac:dyDescent="0.3">
      <c r="A61" s="33" t="s">
        <v>116</v>
      </c>
      <c r="B61">
        <v>2020</v>
      </c>
      <c r="C61">
        <v>207.36000000000004</v>
      </c>
      <c r="D61" s="33">
        <f t="shared" si="0"/>
        <v>2.3167249841904995</v>
      </c>
      <c r="E61">
        <v>978280.73</v>
      </c>
      <c r="F61" s="34">
        <f t="shared" si="1"/>
        <v>5.9904634989543331</v>
      </c>
      <c r="G61">
        <v>1930539.3199999998</v>
      </c>
      <c r="H61" s="34">
        <f t="shared" si="1"/>
        <v>6.2856786514846084</v>
      </c>
      <c r="I61">
        <v>3458145.6999999997</v>
      </c>
      <c r="J61" s="34">
        <f t="shared" ref="J61" si="62">LOG(I61)</f>
        <v>6.5388432871949869</v>
      </c>
      <c r="K61">
        <v>627</v>
      </c>
      <c r="L61" s="34">
        <f t="shared" si="3"/>
        <v>2.7979596437371961</v>
      </c>
      <c r="M61">
        <v>0</v>
      </c>
      <c r="N61">
        <f t="shared" si="4"/>
        <v>0</v>
      </c>
    </row>
    <row r="62" spans="1:14" x14ac:dyDescent="0.3">
      <c r="A62" s="33" t="s">
        <v>6</v>
      </c>
      <c r="B62">
        <v>2010</v>
      </c>
      <c r="C62">
        <v>670.3</v>
      </c>
      <c r="D62" s="33">
        <f t="shared" si="0"/>
        <v>2.8262692193937262</v>
      </c>
      <c r="E62">
        <v>292390.08199999999</v>
      </c>
      <c r="F62" s="34">
        <f t="shared" si="1"/>
        <v>5.4659626370760961</v>
      </c>
      <c r="G62">
        <v>353332.24800000002</v>
      </c>
      <c r="H62" s="34">
        <f t="shared" si="1"/>
        <v>5.5481832765215184</v>
      </c>
      <c r="I62">
        <v>548304.86499999999</v>
      </c>
      <c r="J62" s="34">
        <f t="shared" ref="J62" si="63">LOG(I62)</f>
        <v>5.7390220993091257</v>
      </c>
      <c r="K62">
        <v>91742</v>
      </c>
      <c r="L62" s="34">
        <f t="shared" si="3"/>
        <v>4.9625729374761827</v>
      </c>
      <c r="M62">
        <v>51411</v>
      </c>
      <c r="N62">
        <f t="shared" si="4"/>
        <v>4.7110644988693471</v>
      </c>
    </row>
    <row r="63" spans="1:14" x14ac:dyDescent="0.3">
      <c r="A63" s="33" t="s">
        <v>6</v>
      </c>
      <c r="B63">
        <v>2011</v>
      </c>
      <c r="C63">
        <v>654.79999999999995</v>
      </c>
      <c r="D63" s="33">
        <f t="shared" si="0"/>
        <v>2.8161086707399039</v>
      </c>
      <c r="E63">
        <v>513848.717</v>
      </c>
      <c r="F63" s="34">
        <f t="shared" si="1"/>
        <v>5.7108352764995978</v>
      </c>
      <c r="G63">
        <v>878250.48800000001</v>
      </c>
      <c r="H63" s="34">
        <f t="shared" si="1"/>
        <v>5.9436183997799166</v>
      </c>
      <c r="I63">
        <v>2721680.983</v>
      </c>
      <c r="J63" s="34">
        <f t="shared" ref="J63" si="64">LOG(I63)</f>
        <v>6.4348372187944998</v>
      </c>
      <c r="K63">
        <v>66430</v>
      </c>
      <c r="L63" s="34">
        <f t="shared" si="3"/>
        <v>4.8223707900181436</v>
      </c>
      <c r="M63">
        <v>3468</v>
      </c>
      <c r="N63">
        <f t="shared" si="4"/>
        <v>3.5402042998420598</v>
      </c>
    </row>
    <row r="64" spans="1:14" x14ac:dyDescent="0.3">
      <c r="A64" s="33" t="s">
        <v>6</v>
      </c>
      <c r="B64">
        <v>2013</v>
      </c>
      <c r="C64">
        <v>205.6</v>
      </c>
      <c r="D64" s="33">
        <f t="shared" si="0"/>
        <v>2.3130231103232379</v>
      </c>
      <c r="E64">
        <v>170695.58</v>
      </c>
      <c r="F64" s="34">
        <f t="shared" si="1"/>
        <v>5.2322222756170023</v>
      </c>
      <c r="G64">
        <v>242773.97899999999</v>
      </c>
      <c r="H64" s="34">
        <f t="shared" si="1"/>
        <v>5.3852021363475693</v>
      </c>
      <c r="I64">
        <v>637272.38</v>
      </c>
      <c r="J64" s="34">
        <f t="shared" ref="J64" si="65">LOG(I64)</f>
        <v>5.8043250961457558</v>
      </c>
      <c r="K64">
        <v>14451</v>
      </c>
      <c r="L64" s="34">
        <f t="shared" si="3"/>
        <v>4.1599279528959849</v>
      </c>
      <c r="M64">
        <v>0</v>
      </c>
      <c r="N64">
        <f t="shared" si="4"/>
        <v>0</v>
      </c>
    </row>
    <row r="65" spans="1:14" x14ac:dyDescent="0.3">
      <c r="A65" s="33" t="s">
        <v>6</v>
      </c>
      <c r="B65">
        <v>2014</v>
      </c>
      <c r="C65">
        <v>201.8</v>
      </c>
      <c r="D65" s="33">
        <f t="shared" si="0"/>
        <v>2.3049211619008916</v>
      </c>
      <c r="E65">
        <v>212654.337</v>
      </c>
      <c r="F65" s="34">
        <f t="shared" si="1"/>
        <v>5.3276742444023153</v>
      </c>
      <c r="G65">
        <v>293492.18300000002</v>
      </c>
      <c r="H65" s="34">
        <f t="shared" si="1"/>
        <v>5.4675965385472622</v>
      </c>
      <c r="I65">
        <v>557572.63399999996</v>
      </c>
      <c r="J65" s="34">
        <f t="shared" ref="J65" si="66">LOG(I65)</f>
        <v>5.746301450178823</v>
      </c>
      <c r="K65">
        <v>5887</v>
      </c>
      <c r="L65" s="34">
        <f t="shared" si="3"/>
        <v>3.7699678013294426</v>
      </c>
      <c r="M65">
        <v>1</v>
      </c>
      <c r="N65">
        <f t="shared" si="4"/>
        <v>0.3010299956639812</v>
      </c>
    </row>
    <row r="66" spans="1:14" x14ac:dyDescent="0.3">
      <c r="A66" s="33" t="s">
        <v>6</v>
      </c>
      <c r="B66">
        <v>2015</v>
      </c>
      <c r="C66">
        <v>320.7</v>
      </c>
      <c r="D66" s="33">
        <f t="shared" si="0"/>
        <v>2.5060989599284405</v>
      </c>
      <c r="E66">
        <v>280509.62400000001</v>
      </c>
      <c r="F66" s="34">
        <f t="shared" si="1"/>
        <v>5.4479477660499098</v>
      </c>
      <c r="G66">
        <v>355122.83199999999</v>
      </c>
      <c r="H66" s="34">
        <f t="shared" si="1"/>
        <v>5.5503785954017113</v>
      </c>
      <c r="I66">
        <v>722675.84</v>
      </c>
      <c r="J66" s="34">
        <f t="shared" ref="J66" si="67">LOG(I66)</f>
        <v>5.8589435359272617</v>
      </c>
      <c r="K66">
        <v>6974</v>
      </c>
      <c r="L66" s="34">
        <f t="shared" si="3"/>
        <v>3.8435442119456353</v>
      </c>
      <c r="M66">
        <v>0</v>
      </c>
      <c r="N66">
        <f t="shared" si="4"/>
        <v>0</v>
      </c>
    </row>
    <row r="67" spans="1:14" x14ac:dyDescent="0.3">
      <c r="A67" s="33" t="s">
        <v>6</v>
      </c>
      <c r="B67">
        <v>2016</v>
      </c>
      <c r="C67">
        <v>479.1</v>
      </c>
      <c r="D67" s="33">
        <f t="shared" ref="D67:D99" si="68">LOG(C67)</f>
        <v>2.6804261708581456</v>
      </c>
      <c r="E67">
        <v>1309764.9410000001</v>
      </c>
      <c r="F67" s="34">
        <f t="shared" ref="F67:H99" si="69">LOG(E67)</f>
        <v>6.1171933613149401</v>
      </c>
      <c r="G67">
        <v>1607664.9010000001</v>
      </c>
      <c r="H67" s="34">
        <f t="shared" si="69"/>
        <v>6.2061955302254148</v>
      </c>
      <c r="I67">
        <v>1950336.28</v>
      </c>
      <c r="J67" s="34">
        <f t="shared" ref="J67" si="70">LOG(I67)</f>
        <v>6.2901094995456139</v>
      </c>
      <c r="K67">
        <v>25494</v>
      </c>
      <c r="L67" s="34">
        <f t="shared" ref="L67:L99" si="71">LOG(K67+1)</f>
        <v>4.4064550163034921</v>
      </c>
      <c r="M67">
        <v>10898</v>
      </c>
      <c r="N67">
        <f t="shared" ref="N67:N99" si="72">LOG(M67+1)</f>
        <v>4.0373866525823772</v>
      </c>
    </row>
    <row r="68" spans="1:14" x14ac:dyDescent="0.3">
      <c r="A68" s="33" t="s">
        <v>6</v>
      </c>
      <c r="B68">
        <v>2017</v>
      </c>
      <c r="C68">
        <v>350.6</v>
      </c>
      <c r="D68" s="33">
        <f t="shared" si="68"/>
        <v>2.5448119117577761</v>
      </c>
      <c r="E68">
        <v>276217.16800000001</v>
      </c>
      <c r="F68" s="34">
        <f t="shared" si="69"/>
        <v>5.4412506682178172</v>
      </c>
      <c r="G68">
        <v>386526.49099999998</v>
      </c>
      <c r="H68" s="34">
        <f t="shared" si="69"/>
        <v>5.5871792641039191</v>
      </c>
      <c r="I68">
        <v>1532489</v>
      </c>
      <c r="J68" s="34">
        <f t="shared" ref="J68" si="73">LOG(I68)</f>
        <v>6.1853973658942403</v>
      </c>
      <c r="K68">
        <v>7866</v>
      </c>
      <c r="L68" s="34">
        <f t="shared" si="71"/>
        <v>3.8958091501691308</v>
      </c>
      <c r="M68">
        <v>10</v>
      </c>
      <c r="N68">
        <f t="shared" si="72"/>
        <v>1.0413926851582251</v>
      </c>
    </row>
    <row r="69" spans="1:14" x14ac:dyDescent="0.3">
      <c r="A69" s="33" t="s">
        <v>6</v>
      </c>
      <c r="B69">
        <v>2018</v>
      </c>
      <c r="C69">
        <v>165.1</v>
      </c>
      <c r="D69" s="33">
        <f t="shared" si="68"/>
        <v>2.2177470732627937</v>
      </c>
      <c r="E69">
        <v>178347.212</v>
      </c>
      <c r="F69" s="34">
        <f t="shared" si="69"/>
        <v>5.2512663246500981</v>
      </c>
      <c r="G69">
        <v>229819.45800000001</v>
      </c>
      <c r="H69" s="34">
        <f t="shared" si="69"/>
        <v>5.3613867960854336</v>
      </c>
      <c r="I69">
        <v>445448.33500000002</v>
      </c>
      <c r="J69" s="34">
        <f t="shared" ref="J69" si="74">LOG(I69)</f>
        <v>5.6487973399653191</v>
      </c>
      <c r="K69">
        <v>3787</v>
      </c>
      <c r="L69" s="34">
        <f t="shared" si="71"/>
        <v>3.578409970331236</v>
      </c>
      <c r="M69">
        <v>0</v>
      </c>
      <c r="N69">
        <f t="shared" si="72"/>
        <v>0</v>
      </c>
    </row>
    <row r="70" spans="1:14" x14ac:dyDescent="0.3">
      <c r="A70" s="33" t="s">
        <v>6</v>
      </c>
      <c r="B70">
        <v>2019</v>
      </c>
      <c r="C70">
        <v>192</v>
      </c>
      <c r="D70" s="33">
        <f t="shared" si="68"/>
        <v>2.2833012287035497</v>
      </c>
      <c r="E70">
        <v>130470.995</v>
      </c>
      <c r="F70" s="34">
        <f t="shared" si="69"/>
        <v>5.115513974421189</v>
      </c>
      <c r="G70">
        <v>198983.41899999999</v>
      </c>
      <c r="H70" s="34">
        <f t="shared" si="69"/>
        <v>5.2988168887874849</v>
      </c>
      <c r="I70">
        <v>388056.38900000002</v>
      </c>
      <c r="J70" s="34">
        <f t="shared" ref="J70" si="75">LOG(I70)</f>
        <v>5.5888948380997681</v>
      </c>
      <c r="K70">
        <v>3467</v>
      </c>
      <c r="L70" s="34">
        <f t="shared" si="71"/>
        <v>3.5400790888041729</v>
      </c>
      <c r="M70">
        <v>0</v>
      </c>
      <c r="N70">
        <f t="shared" si="72"/>
        <v>0</v>
      </c>
    </row>
    <row r="71" spans="1:14" x14ac:dyDescent="0.3">
      <c r="A71" s="33" t="s">
        <v>6</v>
      </c>
      <c r="B71">
        <v>2020</v>
      </c>
      <c r="C71">
        <v>332.4</v>
      </c>
      <c r="D71" s="33">
        <f t="shared" si="68"/>
        <v>2.5216610151120733</v>
      </c>
      <c r="E71">
        <v>220629.62299999999</v>
      </c>
      <c r="F71" s="34">
        <f t="shared" si="69"/>
        <v>5.3436638228898801</v>
      </c>
      <c r="G71">
        <v>330491.25099999999</v>
      </c>
      <c r="H71" s="34">
        <f t="shared" si="69"/>
        <v>5.5191599670207054</v>
      </c>
      <c r="I71">
        <v>592252.98199999996</v>
      </c>
      <c r="J71" s="34">
        <f t="shared" ref="J71" si="76">LOG(I71)</f>
        <v>5.7725072560775965</v>
      </c>
      <c r="K71">
        <v>63973</v>
      </c>
      <c r="L71" s="34">
        <f t="shared" si="71"/>
        <v>4.8060035060031279</v>
      </c>
      <c r="M71">
        <v>21019</v>
      </c>
      <c r="N71">
        <f t="shared" si="72"/>
        <v>4.3226327116922239</v>
      </c>
    </row>
    <row r="72" spans="1:14" x14ac:dyDescent="0.3">
      <c r="A72" s="33" t="s">
        <v>117</v>
      </c>
      <c r="B72">
        <v>2010</v>
      </c>
      <c r="C72">
        <v>973.30909090909086</v>
      </c>
      <c r="D72" s="33">
        <f t="shared" si="68"/>
        <v>2.9882507797949978</v>
      </c>
      <c r="E72">
        <v>132281.28899999999</v>
      </c>
      <c r="F72" s="34">
        <f t="shared" si="69"/>
        <v>5.1214984181955483</v>
      </c>
      <c r="G72">
        <v>135789.82</v>
      </c>
      <c r="H72" s="34">
        <f t="shared" si="69"/>
        <v>5.1328672126282484</v>
      </c>
      <c r="I72">
        <v>177714.43700000001</v>
      </c>
      <c r="J72" s="34">
        <f t="shared" ref="J72" si="77">LOG(I72)</f>
        <v>5.2497227100492738</v>
      </c>
      <c r="K72">
        <v>73884</v>
      </c>
      <c r="L72" s="34">
        <f t="shared" si="71"/>
        <v>4.8685562776579321</v>
      </c>
      <c r="M72">
        <v>0</v>
      </c>
      <c r="N72">
        <f t="shared" si="72"/>
        <v>0</v>
      </c>
    </row>
    <row r="73" spans="1:14" x14ac:dyDescent="0.3">
      <c r="A73" s="33" t="s">
        <v>117</v>
      </c>
      <c r="B73">
        <v>2011</v>
      </c>
      <c r="C73">
        <v>558.6</v>
      </c>
      <c r="D73" s="33">
        <f t="shared" si="68"/>
        <v>2.7471009313649861</v>
      </c>
      <c r="E73">
        <v>72214.493000000002</v>
      </c>
      <c r="F73" s="34">
        <f t="shared" si="69"/>
        <v>4.8586243665208517</v>
      </c>
      <c r="G73">
        <v>94414.827000000005</v>
      </c>
      <c r="H73" s="34">
        <f t="shared" si="69"/>
        <v>4.975040201698925</v>
      </c>
      <c r="I73">
        <v>390040.283</v>
      </c>
      <c r="J73" s="34">
        <f t="shared" ref="J73" si="78">LOG(I73)</f>
        <v>5.591109462875643</v>
      </c>
      <c r="K73">
        <v>79660</v>
      </c>
      <c r="L73" s="34">
        <f t="shared" si="71"/>
        <v>4.9012457538904819</v>
      </c>
      <c r="M73">
        <v>0</v>
      </c>
      <c r="N73">
        <f t="shared" si="72"/>
        <v>0</v>
      </c>
    </row>
    <row r="74" spans="1:14" x14ac:dyDescent="0.3">
      <c r="A74" s="33" t="s">
        <v>117</v>
      </c>
      <c r="B74">
        <v>2012</v>
      </c>
      <c r="C74">
        <v>494.2</v>
      </c>
      <c r="D74" s="33">
        <f t="shared" si="68"/>
        <v>2.6939027410660605</v>
      </c>
      <c r="E74">
        <v>128003.299</v>
      </c>
      <c r="F74" s="34">
        <f t="shared" si="69"/>
        <v>5.1072211627653124</v>
      </c>
      <c r="G74">
        <v>234516.87899999999</v>
      </c>
      <c r="H74" s="34">
        <f t="shared" si="69"/>
        <v>5.3701741058688182</v>
      </c>
      <c r="I74">
        <v>420012.89799999999</v>
      </c>
      <c r="J74" s="34">
        <f t="shared" ref="J74" si="79">LOG(I74)</f>
        <v>5.6232626271698507</v>
      </c>
      <c r="K74">
        <v>82041</v>
      </c>
      <c r="L74" s="34">
        <f t="shared" si="71"/>
        <v>4.9140362389510406</v>
      </c>
      <c r="M74">
        <v>0</v>
      </c>
      <c r="N74">
        <f t="shared" si="72"/>
        <v>0</v>
      </c>
    </row>
    <row r="75" spans="1:14" x14ac:dyDescent="0.3">
      <c r="A75" s="33" t="s">
        <v>117</v>
      </c>
      <c r="B75">
        <v>2015</v>
      </c>
      <c r="C75">
        <v>425.8</v>
      </c>
      <c r="D75" s="33">
        <f t="shared" si="68"/>
        <v>2.6292056571023039</v>
      </c>
      <c r="E75">
        <v>41832.421000000002</v>
      </c>
      <c r="F75" s="34">
        <f t="shared" si="69"/>
        <v>4.6215129995678419</v>
      </c>
      <c r="G75">
        <v>44741.955000000002</v>
      </c>
      <c r="H75" s="34">
        <f t="shared" si="69"/>
        <v>4.650714956675281</v>
      </c>
      <c r="I75">
        <v>72641.423999999999</v>
      </c>
      <c r="J75" s="34">
        <f t="shared" ref="J75" si="80">LOG(I75)</f>
        <v>4.8611843491319791</v>
      </c>
      <c r="K75">
        <v>11115</v>
      </c>
      <c r="L75" s="34">
        <f t="shared" si="71"/>
        <v>4.0459485381053346</v>
      </c>
      <c r="M75">
        <v>0</v>
      </c>
      <c r="N75">
        <f t="shared" si="72"/>
        <v>0</v>
      </c>
    </row>
    <row r="76" spans="1:14" x14ac:dyDescent="0.3">
      <c r="A76" s="33" t="s">
        <v>117</v>
      </c>
      <c r="B76">
        <v>2019</v>
      </c>
      <c r="C76">
        <v>102</v>
      </c>
      <c r="D76" s="33">
        <f t="shared" si="68"/>
        <v>2.0086001717619175</v>
      </c>
      <c r="E76">
        <v>178.131</v>
      </c>
      <c r="F76" s="34">
        <f t="shared" si="69"/>
        <v>2.2507395059729687</v>
      </c>
      <c r="G76">
        <v>1170.8499999999999</v>
      </c>
      <c r="H76" s="34">
        <f t="shared" si="69"/>
        <v>3.0685012602773298</v>
      </c>
      <c r="I76">
        <v>37801.330999999998</v>
      </c>
      <c r="J76" s="34">
        <f t="shared" ref="J76" si="81">LOG(I76)</f>
        <v>4.5775070917890419</v>
      </c>
      <c r="K76">
        <v>6</v>
      </c>
      <c r="L76" s="34">
        <f t="shared" si="71"/>
        <v>0.84509804001425681</v>
      </c>
      <c r="M76">
        <v>0</v>
      </c>
      <c r="N76">
        <f t="shared" si="72"/>
        <v>0</v>
      </c>
    </row>
    <row r="77" spans="1:14" x14ac:dyDescent="0.3">
      <c r="A77" s="33" t="s">
        <v>118</v>
      </c>
      <c r="B77">
        <v>2010</v>
      </c>
      <c r="C77">
        <v>591.4</v>
      </c>
      <c r="D77" s="33">
        <f t="shared" si="68"/>
        <v>2.7718813201900989</v>
      </c>
      <c r="E77">
        <v>19114.056</v>
      </c>
      <c r="F77" s="34">
        <f t="shared" si="69"/>
        <v>4.2813528540623658</v>
      </c>
      <c r="G77">
        <v>22112.021000000001</v>
      </c>
      <c r="H77" s="34">
        <f t="shared" si="69"/>
        <v>4.3446284381479661</v>
      </c>
      <c r="I77">
        <v>1426520</v>
      </c>
      <c r="J77" s="34">
        <f t="shared" ref="J77" si="82">LOG(I77)</f>
        <v>6.1542778649021379</v>
      </c>
      <c r="K77">
        <v>7681</v>
      </c>
      <c r="L77" s="34">
        <f t="shared" si="71"/>
        <v>3.8854743028291572</v>
      </c>
      <c r="M77">
        <v>2076</v>
      </c>
      <c r="N77">
        <f t="shared" si="72"/>
        <v>3.3174364965350991</v>
      </c>
    </row>
    <row r="78" spans="1:14" x14ac:dyDescent="0.3">
      <c r="A78" s="33" t="s">
        <v>118</v>
      </c>
      <c r="B78">
        <v>2011</v>
      </c>
      <c r="C78">
        <v>457.2</v>
      </c>
      <c r="D78" s="33">
        <f t="shared" si="68"/>
        <v>2.6601062217232441</v>
      </c>
      <c r="E78">
        <v>2.133</v>
      </c>
      <c r="F78" s="34">
        <f t="shared" si="69"/>
        <v>0.32899085544942874</v>
      </c>
      <c r="G78">
        <v>815.71</v>
      </c>
      <c r="H78" s="34">
        <f t="shared" si="69"/>
        <v>2.911535786468249</v>
      </c>
      <c r="I78">
        <v>307375.77500000002</v>
      </c>
      <c r="J78" s="34">
        <f t="shared" ref="J78" si="83">LOG(I78)</f>
        <v>5.4876696367538473</v>
      </c>
      <c r="K78">
        <v>32242</v>
      </c>
      <c r="L78" s="34">
        <f t="shared" si="71"/>
        <v>4.5084354432705052</v>
      </c>
      <c r="M78">
        <v>534</v>
      </c>
      <c r="N78">
        <f t="shared" si="72"/>
        <v>2.7283537820212285</v>
      </c>
    </row>
    <row r="79" spans="1:14" x14ac:dyDescent="0.3">
      <c r="A79" s="33" t="s">
        <v>118</v>
      </c>
      <c r="B79">
        <v>2013</v>
      </c>
      <c r="C79">
        <v>137.19999999999999</v>
      </c>
      <c r="D79" s="33">
        <f t="shared" si="68"/>
        <v>2.1373541113707328</v>
      </c>
      <c r="E79">
        <v>822.98900000000003</v>
      </c>
      <c r="F79" s="34">
        <f t="shared" si="69"/>
        <v>2.9153940305084705</v>
      </c>
      <c r="G79">
        <v>2029.65</v>
      </c>
      <c r="H79" s="34">
        <f t="shared" si="69"/>
        <v>3.3074211530984909</v>
      </c>
      <c r="I79">
        <v>7723.66</v>
      </c>
      <c r="J79" s="34">
        <f t="shared" ref="J79" si="84">LOG(I79)</f>
        <v>3.8878231476327532</v>
      </c>
      <c r="K79">
        <v>84372</v>
      </c>
      <c r="L79" s="34">
        <f t="shared" si="71"/>
        <v>4.9262034913293524</v>
      </c>
      <c r="M79">
        <v>0</v>
      </c>
      <c r="N79">
        <f t="shared" si="72"/>
        <v>0</v>
      </c>
    </row>
    <row r="80" spans="1:14" x14ac:dyDescent="0.3">
      <c r="A80" s="33" t="s">
        <v>118</v>
      </c>
      <c r="B80">
        <v>2014</v>
      </c>
      <c r="C80">
        <v>270</v>
      </c>
      <c r="D80" s="33">
        <f t="shared" si="68"/>
        <v>2.4313637641589874</v>
      </c>
      <c r="E80">
        <v>12129.365</v>
      </c>
      <c r="F80" s="34">
        <f t="shared" si="69"/>
        <v>4.0838380651522561</v>
      </c>
      <c r="G80">
        <v>13230.72</v>
      </c>
      <c r="H80" s="34">
        <f t="shared" si="69"/>
        <v>4.1215834786182377</v>
      </c>
      <c r="I80">
        <v>100019.171</v>
      </c>
      <c r="J80" s="34">
        <f t="shared" ref="J80" si="85">LOG(I80)</f>
        <v>5.0000832506153925</v>
      </c>
      <c r="K80">
        <v>2537</v>
      </c>
      <c r="L80" s="34">
        <f t="shared" si="71"/>
        <v>3.4044916177586861</v>
      </c>
      <c r="M80">
        <v>0</v>
      </c>
      <c r="N80">
        <f t="shared" si="72"/>
        <v>0</v>
      </c>
    </row>
    <row r="81" spans="1:14" x14ac:dyDescent="0.3">
      <c r="A81" s="33" t="s">
        <v>118</v>
      </c>
      <c r="B81">
        <v>2015</v>
      </c>
      <c r="C81">
        <v>275.2</v>
      </c>
      <c r="D81" s="33">
        <f t="shared" si="68"/>
        <v>2.4396484295634737</v>
      </c>
      <c r="E81">
        <v>797.79899999999998</v>
      </c>
      <c r="F81" s="34">
        <f t="shared" si="69"/>
        <v>2.9018934876083731</v>
      </c>
      <c r="G81">
        <v>21988.998</v>
      </c>
      <c r="H81" s="34">
        <f t="shared" si="69"/>
        <v>4.342205439775273</v>
      </c>
      <c r="I81">
        <v>64127.370999999999</v>
      </c>
      <c r="J81" s="34">
        <f t="shared" ref="J81" si="86">LOG(I81)</f>
        <v>4.8070434357133296</v>
      </c>
      <c r="K81">
        <v>937</v>
      </c>
      <c r="L81" s="34">
        <f t="shared" si="71"/>
        <v>2.9722028383790646</v>
      </c>
      <c r="M81">
        <v>0</v>
      </c>
      <c r="N81">
        <f t="shared" si="72"/>
        <v>0</v>
      </c>
    </row>
    <row r="82" spans="1:14" x14ac:dyDescent="0.3">
      <c r="A82" s="33" t="s">
        <v>118</v>
      </c>
      <c r="B82">
        <v>2016</v>
      </c>
      <c r="C82">
        <v>405.8</v>
      </c>
      <c r="D82" s="33">
        <f t="shared" si="68"/>
        <v>2.6083120426973272</v>
      </c>
      <c r="E82">
        <v>73440.990000000005</v>
      </c>
      <c r="F82" s="34">
        <f t="shared" si="69"/>
        <v>4.8659385226136536</v>
      </c>
      <c r="G82">
        <v>103014.65</v>
      </c>
      <c r="H82" s="34">
        <f t="shared" si="69"/>
        <v>5.0128989913239117</v>
      </c>
      <c r="I82">
        <v>153528.89000000001</v>
      </c>
      <c r="J82" s="34">
        <f t="shared" ref="J82" si="87">LOG(I82)</f>
        <v>5.1861901100218457</v>
      </c>
      <c r="K82">
        <v>868</v>
      </c>
      <c r="L82" s="34">
        <f t="shared" si="71"/>
        <v>2.9390197764486663</v>
      </c>
      <c r="M82">
        <v>35</v>
      </c>
      <c r="N82">
        <f t="shared" si="72"/>
        <v>1.5563025007672873</v>
      </c>
    </row>
    <row r="83" spans="1:14" x14ac:dyDescent="0.3">
      <c r="A83" s="33" t="s">
        <v>118</v>
      </c>
      <c r="B83">
        <v>2017</v>
      </c>
      <c r="C83">
        <v>156</v>
      </c>
      <c r="D83" s="33">
        <f t="shared" si="68"/>
        <v>2.1931245983544616</v>
      </c>
      <c r="F83" s="34" t="e">
        <f t="shared" si="69"/>
        <v>#NUM!</v>
      </c>
      <c r="G83">
        <v>242</v>
      </c>
      <c r="H83" s="34">
        <f t="shared" si="69"/>
        <v>2.3838153659804311</v>
      </c>
      <c r="I83">
        <v>35589.089999999997</v>
      </c>
      <c r="J83" s="34">
        <f t="shared" ref="J83" si="88">LOG(I83)</f>
        <v>4.5513168833949349</v>
      </c>
      <c r="K83">
        <v>3821</v>
      </c>
      <c r="L83" s="34">
        <f t="shared" si="71"/>
        <v>3.5822906827189942</v>
      </c>
      <c r="M83">
        <v>0</v>
      </c>
      <c r="N83">
        <f t="shared" si="72"/>
        <v>0</v>
      </c>
    </row>
    <row r="84" spans="1:14" x14ac:dyDescent="0.3">
      <c r="A84" s="33" t="s">
        <v>118</v>
      </c>
      <c r="B84">
        <v>2019</v>
      </c>
      <c r="C84">
        <v>98.6</v>
      </c>
      <c r="D84" s="33">
        <f t="shared" si="68"/>
        <v>1.9938769149412112</v>
      </c>
      <c r="F84" s="34" t="e">
        <f t="shared" si="69"/>
        <v>#NUM!</v>
      </c>
      <c r="G84">
        <v>107990.717</v>
      </c>
      <c r="H84" s="34">
        <f t="shared" si="69"/>
        <v>5.0333864246633482</v>
      </c>
      <c r="I84">
        <v>111225.1</v>
      </c>
      <c r="J84" s="34">
        <f t="shared" ref="J84" si="89">LOG(I84)</f>
        <v>5.0462028048847136</v>
      </c>
      <c r="K84">
        <v>2159</v>
      </c>
      <c r="L84" s="34">
        <f t="shared" si="71"/>
        <v>3.3344537511509307</v>
      </c>
      <c r="M84">
        <v>0</v>
      </c>
      <c r="N84">
        <f t="shared" si="72"/>
        <v>0</v>
      </c>
    </row>
    <row r="85" spans="1:14" x14ac:dyDescent="0.3">
      <c r="A85" s="33" t="s">
        <v>118</v>
      </c>
      <c r="B85">
        <v>2020</v>
      </c>
      <c r="C85">
        <v>237.2</v>
      </c>
      <c r="D85" s="33">
        <f t="shared" si="68"/>
        <v>2.3751146846922251</v>
      </c>
      <c r="E85">
        <v>4708.43</v>
      </c>
      <c r="F85" s="34">
        <f t="shared" si="69"/>
        <v>3.672876118168761</v>
      </c>
      <c r="G85">
        <v>10315.540000000001</v>
      </c>
      <c r="H85" s="34">
        <f t="shared" si="69"/>
        <v>4.0134919674407064</v>
      </c>
      <c r="I85">
        <v>426413.65</v>
      </c>
      <c r="J85" s="34">
        <f t="shared" ref="J85" si="90">LOG(I85)</f>
        <v>5.6298310985156874</v>
      </c>
      <c r="K85">
        <v>8024</v>
      </c>
      <c r="L85" s="34">
        <f t="shared" si="71"/>
        <v>3.9044450410769098</v>
      </c>
      <c r="M85">
        <v>20</v>
      </c>
      <c r="N85">
        <f t="shared" si="72"/>
        <v>1.3222192947339193</v>
      </c>
    </row>
    <row r="86" spans="1:14" x14ac:dyDescent="0.3">
      <c r="A86" s="33" t="s">
        <v>9</v>
      </c>
      <c r="B86">
        <v>2008</v>
      </c>
      <c r="C86">
        <v>217.2</v>
      </c>
      <c r="D86" s="33">
        <f t="shared" si="68"/>
        <v>2.3368598209168092</v>
      </c>
      <c r="E86">
        <v>210769</v>
      </c>
      <c r="F86" s="34">
        <f t="shared" si="69"/>
        <v>5.3238067350083833</v>
      </c>
      <c r="G86">
        <v>375924</v>
      </c>
      <c r="H86" s="34">
        <f t="shared" si="69"/>
        <v>5.5751000531275929</v>
      </c>
      <c r="I86">
        <v>1038675</v>
      </c>
      <c r="J86" s="34">
        <f t="shared" ref="J86" si="91">LOG(I86)</f>
        <v>6.0164796786577881</v>
      </c>
      <c r="K86">
        <v>2566</v>
      </c>
      <c r="L86" s="34">
        <f t="shared" si="71"/>
        <v>3.4094258686714434</v>
      </c>
      <c r="M86">
        <v>0</v>
      </c>
      <c r="N86">
        <f t="shared" si="72"/>
        <v>0</v>
      </c>
    </row>
    <row r="87" spans="1:14" x14ac:dyDescent="0.3">
      <c r="A87" s="33" t="s">
        <v>9</v>
      </c>
      <c r="B87">
        <v>2009</v>
      </c>
      <c r="C87">
        <v>227.5</v>
      </c>
      <c r="D87" s="33">
        <f t="shared" si="68"/>
        <v>2.3569814009931314</v>
      </c>
      <c r="E87">
        <v>187307</v>
      </c>
      <c r="F87" s="34">
        <f t="shared" si="69"/>
        <v>5.2725540080456392</v>
      </c>
      <c r="G87">
        <v>374082</v>
      </c>
      <c r="H87" s="34">
        <f t="shared" si="69"/>
        <v>5.5729668114092537</v>
      </c>
      <c r="I87">
        <v>1149604</v>
      </c>
      <c r="J87" s="34">
        <f t="shared" ref="J87" si="92">LOG(I87)</f>
        <v>6.0605482662386478</v>
      </c>
      <c r="K87">
        <v>13848</v>
      </c>
      <c r="L87" s="34">
        <f t="shared" si="71"/>
        <v>4.141418415266088</v>
      </c>
      <c r="M87">
        <v>26</v>
      </c>
      <c r="N87">
        <f t="shared" si="72"/>
        <v>1.4313637641589874</v>
      </c>
    </row>
    <row r="88" spans="1:14" x14ac:dyDescent="0.3">
      <c r="A88" s="33" t="s">
        <v>9</v>
      </c>
      <c r="B88">
        <v>2010</v>
      </c>
      <c r="C88">
        <v>424</v>
      </c>
      <c r="D88" s="33">
        <f t="shared" si="68"/>
        <v>2.6273658565927325</v>
      </c>
      <c r="E88">
        <v>1199541</v>
      </c>
      <c r="F88" s="34">
        <f t="shared" si="69"/>
        <v>6.0790150966301946</v>
      </c>
      <c r="G88">
        <v>1670796</v>
      </c>
      <c r="H88" s="34">
        <f t="shared" si="69"/>
        <v>6.2229234268636082</v>
      </c>
      <c r="I88">
        <v>2822085</v>
      </c>
      <c r="J88" s="34">
        <f t="shared" ref="J88" si="93">LOG(I88)</f>
        <v>6.4505700903804213</v>
      </c>
      <c r="K88">
        <v>2324</v>
      </c>
      <c r="L88" s="34">
        <f t="shared" si="71"/>
        <v>3.3664229572259727</v>
      </c>
      <c r="M88">
        <v>54</v>
      </c>
      <c r="N88">
        <f t="shared" si="72"/>
        <v>1.7403626894942439</v>
      </c>
    </row>
    <row r="89" spans="1:14" x14ac:dyDescent="0.3">
      <c r="A89" s="33" t="s">
        <v>9</v>
      </c>
      <c r="B89">
        <v>2011</v>
      </c>
      <c r="C89">
        <v>491.2</v>
      </c>
      <c r="D89" s="33">
        <f t="shared" si="68"/>
        <v>2.6912583581331111</v>
      </c>
      <c r="E89">
        <v>2794337</v>
      </c>
      <c r="F89" s="34">
        <f t="shared" si="69"/>
        <v>6.4462787813109577</v>
      </c>
      <c r="G89">
        <v>5490841</v>
      </c>
      <c r="H89" s="34">
        <f t="shared" si="69"/>
        <v>6.739638867890327</v>
      </c>
      <c r="I89">
        <v>16983482</v>
      </c>
      <c r="J89" s="34">
        <f t="shared" ref="J89" si="94">LOG(I89)</f>
        <v>7.2300267352810978</v>
      </c>
      <c r="K89">
        <v>3954</v>
      </c>
      <c r="L89" s="34">
        <f t="shared" si="71"/>
        <v>3.5971464878336952</v>
      </c>
      <c r="M89">
        <v>0</v>
      </c>
      <c r="N89">
        <f t="shared" si="72"/>
        <v>0</v>
      </c>
    </row>
    <row r="90" spans="1:14" x14ac:dyDescent="0.3">
      <c r="A90" s="33" t="s">
        <v>9</v>
      </c>
      <c r="B90">
        <v>2015</v>
      </c>
      <c r="C90">
        <v>232.6</v>
      </c>
      <c r="D90" s="33">
        <f t="shared" si="68"/>
        <v>2.3666097103924297</v>
      </c>
      <c r="E90">
        <v>740081</v>
      </c>
      <c r="F90" s="34">
        <f t="shared" si="69"/>
        <v>5.8692792547686796</v>
      </c>
      <c r="G90">
        <v>1201491</v>
      </c>
      <c r="H90" s="34">
        <f t="shared" si="69"/>
        <v>6.0797205219855481</v>
      </c>
      <c r="I90">
        <v>2780255</v>
      </c>
      <c r="J90" s="34">
        <f t="shared" ref="J90" si="95">LOG(I90)</f>
        <v>6.4440846304555075</v>
      </c>
      <c r="K90">
        <v>171</v>
      </c>
      <c r="L90" s="34">
        <f t="shared" si="71"/>
        <v>2.2355284469075487</v>
      </c>
      <c r="M90">
        <v>0</v>
      </c>
      <c r="N90">
        <f t="shared" si="72"/>
        <v>0</v>
      </c>
    </row>
    <row r="91" spans="1:14" x14ac:dyDescent="0.3">
      <c r="A91" s="33" t="s">
        <v>9</v>
      </c>
      <c r="B91">
        <v>2016</v>
      </c>
      <c r="C91">
        <v>314.89999999999998</v>
      </c>
      <c r="D91" s="33">
        <f t="shared" si="68"/>
        <v>2.498172660636544</v>
      </c>
      <c r="E91">
        <v>2746937</v>
      </c>
      <c r="F91" s="34">
        <f t="shared" si="69"/>
        <v>6.4388486991489531</v>
      </c>
      <c r="G91">
        <v>3084957</v>
      </c>
      <c r="H91" s="34">
        <f t="shared" si="69"/>
        <v>6.4892491149517983</v>
      </c>
      <c r="I91">
        <v>4458134</v>
      </c>
      <c r="J91" s="34">
        <f t="shared" ref="J91" si="96">LOG(I91)</f>
        <v>6.6491531181114603</v>
      </c>
      <c r="K91">
        <v>291</v>
      </c>
      <c r="L91" s="34">
        <f t="shared" si="71"/>
        <v>2.4653828514484184</v>
      </c>
      <c r="M91">
        <v>121</v>
      </c>
      <c r="N91">
        <f t="shared" si="72"/>
        <v>2.0863598306747484</v>
      </c>
    </row>
    <row r="92" spans="1:14" x14ac:dyDescent="0.3">
      <c r="A92" s="33" t="s">
        <v>9</v>
      </c>
      <c r="B92">
        <v>2017</v>
      </c>
      <c r="C92">
        <v>240.5</v>
      </c>
      <c r="D92" s="33">
        <f t="shared" si="68"/>
        <v>2.3811150807098507</v>
      </c>
      <c r="E92">
        <v>680773</v>
      </c>
      <c r="F92" s="34">
        <f t="shared" si="69"/>
        <v>5.83300232295265</v>
      </c>
      <c r="G92">
        <v>1237677</v>
      </c>
      <c r="H92" s="34">
        <f t="shared" si="69"/>
        <v>6.0926073204350546</v>
      </c>
      <c r="I92">
        <v>7179771</v>
      </c>
      <c r="J92" s="34">
        <f t="shared" ref="J92" si="97">LOG(I92)</f>
        <v>6.856110592567874</v>
      </c>
      <c r="K92">
        <v>1046</v>
      </c>
      <c r="L92" s="34">
        <f t="shared" si="71"/>
        <v>3.0199466816788423</v>
      </c>
      <c r="M92">
        <v>90</v>
      </c>
      <c r="N92">
        <f t="shared" si="72"/>
        <v>1.9590413923210936</v>
      </c>
    </row>
    <row r="93" spans="1:14" x14ac:dyDescent="0.3">
      <c r="A93" s="33" t="s">
        <v>9</v>
      </c>
      <c r="B93">
        <v>2018</v>
      </c>
      <c r="C93">
        <v>166.2</v>
      </c>
      <c r="D93" s="33">
        <f t="shared" si="68"/>
        <v>2.220631019448092</v>
      </c>
      <c r="E93">
        <v>577273</v>
      </c>
      <c r="F93" s="34">
        <f t="shared" si="69"/>
        <v>5.7613812453121973</v>
      </c>
      <c r="G93">
        <v>987643</v>
      </c>
      <c r="H93" s="34">
        <f t="shared" si="69"/>
        <v>5.9945999899842644</v>
      </c>
      <c r="I93">
        <v>2583054</v>
      </c>
      <c r="J93" s="34">
        <f t="shared" ref="J93" si="98">LOG(I93)</f>
        <v>6.4121334854055601</v>
      </c>
      <c r="K93">
        <v>765</v>
      </c>
      <c r="L93" s="34">
        <f t="shared" si="71"/>
        <v>2.8842287696326041</v>
      </c>
      <c r="M93">
        <v>57</v>
      </c>
      <c r="N93">
        <f t="shared" si="72"/>
        <v>1.7634279935629373</v>
      </c>
    </row>
    <row r="94" spans="1:14" x14ac:dyDescent="0.3">
      <c r="A94" s="33" t="s">
        <v>9</v>
      </c>
      <c r="B94">
        <v>2019</v>
      </c>
      <c r="C94">
        <v>120.76363636363637</v>
      </c>
      <c r="D94" s="33">
        <f t="shared" si="68"/>
        <v>2.0819361817681226</v>
      </c>
      <c r="E94">
        <v>378391</v>
      </c>
      <c r="F94" s="34">
        <f t="shared" si="69"/>
        <v>5.5779407981927038</v>
      </c>
      <c r="G94">
        <v>749081</v>
      </c>
      <c r="H94" s="34">
        <f t="shared" si="69"/>
        <v>5.8745287815860232</v>
      </c>
      <c r="I94">
        <v>2211894</v>
      </c>
      <c r="J94" s="34">
        <f t="shared" ref="J94" si="99">LOG(I94)</f>
        <v>6.3447643105539395</v>
      </c>
      <c r="K94">
        <v>822</v>
      </c>
      <c r="L94" s="34">
        <f t="shared" si="71"/>
        <v>2.9153998352122699</v>
      </c>
      <c r="M94">
        <v>1</v>
      </c>
      <c r="N94">
        <f t="shared" si="72"/>
        <v>0.3010299956639812</v>
      </c>
    </row>
    <row r="95" spans="1:14" x14ac:dyDescent="0.3">
      <c r="A95" s="33" t="s">
        <v>9</v>
      </c>
      <c r="B95">
        <v>2020</v>
      </c>
      <c r="C95">
        <v>282.60000000000002</v>
      </c>
      <c r="D95" s="33">
        <f t="shared" si="68"/>
        <v>2.45117215751254</v>
      </c>
      <c r="E95">
        <v>889090</v>
      </c>
      <c r="F95" s="34">
        <f t="shared" si="69"/>
        <v>5.9489457255652622</v>
      </c>
      <c r="G95">
        <v>1326324</v>
      </c>
      <c r="H95" s="34">
        <f t="shared" si="69"/>
        <v>6.1226496283100431</v>
      </c>
      <c r="I95">
        <v>2984212</v>
      </c>
      <c r="J95" s="34">
        <f t="shared" ref="J95" si="100">LOG(I95)</f>
        <v>6.4748296724064351</v>
      </c>
      <c r="K95">
        <v>170</v>
      </c>
      <c r="L95" s="34">
        <f t="shared" si="71"/>
        <v>2.2329961103921536</v>
      </c>
      <c r="M95">
        <v>328</v>
      </c>
      <c r="N95">
        <f t="shared" si="72"/>
        <v>2.5171958979499744</v>
      </c>
    </row>
    <row r="96" spans="1:14" x14ac:dyDescent="0.3">
      <c r="A96" s="33" t="s">
        <v>10</v>
      </c>
      <c r="B96">
        <v>2010</v>
      </c>
      <c r="C96">
        <v>657.5</v>
      </c>
      <c r="D96" s="33">
        <f t="shared" si="68"/>
        <v>2.8178957571617955</v>
      </c>
      <c r="E96">
        <v>2426.86</v>
      </c>
      <c r="F96" s="34">
        <f t="shared" si="69"/>
        <v>3.385044723599683</v>
      </c>
      <c r="G96">
        <v>6633.46</v>
      </c>
      <c r="H96" s="34">
        <f t="shared" si="69"/>
        <v>3.8217401146713237</v>
      </c>
      <c r="I96">
        <v>2152277.48</v>
      </c>
      <c r="J96" s="34">
        <f t="shared" ref="J96" si="101">LOG(I96)</f>
        <v>6.3328982615409695</v>
      </c>
      <c r="K96">
        <v>83008</v>
      </c>
      <c r="L96" s="34">
        <f t="shared" si="71"/>
        <v>4.9191251819958053</v>
      </c>
      <c r="M96">
        <v>0</v>
      </c>
      <c r="N96">
        <f t="shared" si="72"/>
        <v>0</v>
      </c>
    </row>
    <row r="97" spans="1:14" x14ac:dyDescent="0.3">
      <c r="A97" s="33" t="s">
        <v>10</v>
      </c>
      <c r="B97">
        <v>2016</v>
      </c>
      <c r="C97">
        <v>400.5</v>
      </c>
      <c r="D97" s="33">
        <f t="shared" si="68"/>
        <v>2.6026025204202563</v>
      </c>
      <c r="E97">
        <v>372752.71</v>
      </c>
      <c r="F97" s="34">
        <f t="shared" si="69"/>
        <v>5.5714208095596875</v>
      </c>
      <c r="G97">
        <v>449082.05</v>
      </c>
      <c r="H97" s="34">
        <f t="shared" si="69"/>
        <v>5.6523256964749962</v>
      </c>
      <c r="I97">
        <v>525285.65</v>
      </c>
      <c r="J97" s="34">
        <f t="shared" ref="J97" si="102">LOG(I97)</f>
        <v>5.7203955367046113</v>
      </c>
      <c r="K97">
        <v>1900</v>
      </c>
      <c r="L97" s="34">
        <f t="shared" si="71"/>
        <v>3.2789821168654432</v>
      </c>
      <c r="M97">
        <v>0</v>
      </c>
      <c r="N97">
        <f t="shared" si="72"/>
        <v>0</v>
      </c>
    </row>
    <row r="98" spans="1:14" x14ac:dyDescent="0.3">
      <c r="A98" s="33" t="s">
        <v>10</v>
      </c>
      <c r="B98">
        <v>2019</v>
      </c>
      <c r="C98">
        <v>174</v>
      </c>
      <c r="D98" s="33">
        <f t="shared" si="68"/>
        <v>2.2405492482825999</v>
      </c>
      <c r="E98">
        <v>69</v>
      </c>
      <c r="F98" s="34">
        <f t="shared" si="69"/>
        <v>1.8388490907372552</v>
      </c>
      <c r="G98">
        <v>25504.68</v>
      </c>
      <c r="H98" s="34">
        <f t="shared" si="69"/>
        <v>4.4066198789314663</v>
      </c>
      <c r="I98">
        <v>420966.23</v>
      </c>
      <c r="J98" s="34">
        <f t="shared" ref="J98" si="103">LOG(I98)</f>
        <v>5.6242472580378111</v>
      </c>
      <c r="K98">
        <v>2</v>
      </c>
      <c r="L98" s="34">
        <f t="shared" si="71"/>
        <v>0.47712125471966244</v>
      </c>
      <c r="M98">
        <v>0</v>
      </c>
      <c r="N98">
        <f t="shared" si="72"/>
        <v>0</v>
      </c>
    </row>
    <row r="99" spans="1:14" x14ac:dyDescent="0.3">
      <c r="A99" s="33" t="s">
        <v>10</v>
      </c>
      <c r="B99">
        <v>2020</v>
      </c>
      <c r="C99">
        <v>460.5</v>
      </c>
      <c r="D99" s="33">
        <f t="shared" si="68"/>
        <v>2.6632296345328679</v>
      </c>
      <c r="E99">
        <v>89.7</v>
      </c>
      <c r="F99" s="34">
        <f t="shared" si="69"/>
        <v>1.9527924430440922</v>
      </c>
      <c r="G99">
        <v>1301.3699999999999</v>
      </c>
      <c r="H99" s="34">
        <f t="shared" si="69"/>
        <v>3.114400790883598</v>
      </c>
      <c r="I99">
        <v>1290927.78</v>
      </c>
      <c r="J99" s="34">
        <f t="shared" ref="J99" si="104">LOG(I99)</f>
        <v>6.1109019466623886</v>
      </c>
      <c r="K99">
        <v>7839</v>
      </c>
      <c r="L99" s="34">
        <f t="shared" si="71"/>
        <v>3.8943160626844384</v>
      </c>
      <c r="M99">
        <v>1</v>
      </c>
      <c r="N99">
        <f t="shared" si="72"/>
        <v>0.3010299956639812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D9425-80E5-406D-84FF-E36FCBB126C1}">
  <dimension ref="A1:K15"/>
  <sheetViews>
    <sheetView workbookViewId="0">
      <selection activeCell="F25" sqref="F25"/>
    </sheetView>
  </sheetViews>
  <sheetFormatPr defaultRowHeight="14.4" x14ac:dyDescent="0.3"/>
  <sheetData>
    <row r="1" spans="1:11" ht="15" thickBot="1" x14ac:dyDescent="0.35">
      <c r="A1" s="7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ht="15" thickBot="1" x14ac:dyDescent="0.35">
      <c r="A2" s="8">
        <v>2007</v>
      </c>
      <c r="B2" s="11"/>
      <c r="C2" s="10">
        <v>0</v>
      </c>
      <c r="D2" s="11"/>
      <c r="E2" s="11"/>
      <c r="F2" s="10">
        <v>0</v>
      </c>
      <c r="G2" s="11"/>
      <c r="H2" s="11"/>
      <c r="I2" s="11"/>
      <c r="J2" s="11"/>
      <c r="K2" s="11"/>
    </row>
    <row r="3" spans="1:11" ht="15" thickBot="1" x14ac:dyDescent="0.35">
      <c r="A3" s="8">
        <v>2008</v>
      </c>
      <c r="B3" s="11"/>
      <c r="C3" s="10">
        <v>0</v>
      </c>
      <c r="D3" s="11"/>
      <c r="E3" s="11"/>
      <c r="F3" s="10">
        <v>0</v>
      </c>
      <c r="G3" s="11"/>
      <c r="H3" s="11"/>
      <c r="I3" s="11"/>
      <c r="J3" s="10">
        <v>0</v>
      </c>
      <c r="K3" s="11"/>
    </row>
    <row r="4" spans="1:11" ht="15" thickBot="1" x14ac:dyDescent="0.35">
      <c r="A4" s="8">
        <v>2009</v>
      </c>
      <c r="B4" s="11"/>
      <c r="C4" s="10">
        <v>101</v>
      </c>
      <c r="D4" s="11"/>
      <c r="E4" s="11"/>
      <c r="F4" s="10">
        <v>2</v>
      </c>
      <c r="G4" s="11"/>
      <c r="H4" s="11"/>
      <c r="I4" s="11"/>
      <c r="J4" s="10">
        <v>26</v>
      </c>
      <c r="K4" s="11"/>
    </row>
    <row r="5" spans="1:11" ht="15" thickBot="1" x14ac:dyDescent="0.35">
      <c r="A5" s="8">
        <v>2010</v>
      </c>
      <c r="B5" s="10">
        <v>132344</v>
      </c>
      <c r="C5" s="10">
        <v>28</v>
      </c>
      <c r="D5" s="10">
        <v>3</v>
      </c>
      <c r="E5" s="10">
        <v>13</v>
      </c>
      <c r="F5" s="10">
        <v>15</v>
      </c>
      <c r="G5" s="10">
        <v>51411</v>
      </c>
      <c r="H5" s="10">
        <v>0</v>
      </c>
      <c r="I5" s="10">
        <v>2076</v>
      </c>
      <c r="J5" s="10">
        <v>54</v>
      </c>
      <c r="K5" s="10">
        <v>0</v>
      </c>
    </row>
    <row r="6" spans="1:11" ht="15" thickBot="1" x14ac:dyDescent="0.35">
      <c r="A6" s="8">
        <v>2011</v>
      </c>
      <c r="B6" s="10">
        <v>16</v>
      </c>
      <c r="C6" s="10">
        <v>78</v>
      </c>
      <c r="D6" s="10">
        <v>0</v>
      </c>
      <c r="E6" s="10">
        <v>6</v>
      </c>
      <c r="F6" s="10">
        <v>4</v>
      </c>
      <c r="G6" s="10">
        <v>3468</v>
      </c>
      <c r="H6" s="10">
        <v>0</v>
      </c>
      <c r="I6" s="10">
        <v>534</v>
      </c>
      <c r="J6" s="10">
        <v>0</v>
      </c>
      <c r="K6" s="11"/>
    </row>
    <row r="7" spans="1:11" ht="15" thickBot="1" x14ac:dyDescent="0.35">
      <c r="A7" s="8">
        <v>2012</v>
      </c>
      <c r="B7" s="10">
        <v>12</v>
      </c>
      <c r="C7" s="10">
        <v>341</v>
      </c>
      <c r="D7" s="10">
        <v>7</v>
      </c>
      <c r="E7" s="10">
        <v>2</v>
      </c>
      <c r="F7" s="10">
        <v>0</v>
      </c>
      <c r="G7" s="11"/>
      <c r="H7" s="10">
        <v>0</v>
      </c>
      <c r="I7" s="11"/>
      <c r="J7" s="11"/>
      <c r="K7" s="11"/>
    </row>
    <row r="8" spans="1:11" ht="15" thickBot="1" x14ac:dyDescent="0.35">
      <c r="A8" s="8">
        <v>2013</v>
      </c>
      <c r="B8" s="10">
        <v>0</v>
      </c>
      <c r="C8" s="10">
        <v>239</v>
      </c>
      <c r="D8" s="10">
        <v>0</v>
      </c>
      <c r="E8" s="11"/>
      <c r="F8" s="10">
        <v>0</v>
      </c>
      <c r="G8" s="10">
        <v>0</v>
      </c>
      <c r="H8" s="11"/>
      <c r="I8" s="10">
        <v>0</v>
      </c>
      <c r="J8" s="11"/>
      <c r="K8" s="11"/>
    </row>
    <row r="9" spans="1:11" ht="15" thickBot="1" x14ac:dyDescent="0.35">
      <c r="A9" s="8">
        <v>2014</v>
      </c>
      <c r="B9" s="10">
        <v>0</v>
      </c>
      <c r="C9" s="10">
        <v>216</v>
      </c>
      <c r="D9" s="10">
        <v>0</v>
      </c>
      <c r="E9" s="10">
        <v>0</v>
      </c>
      <c r="F9" s="10">
        <v>53</v>
      </c>
      <c r="G9" s="10">
        <v>1</v>
      </c>
      <c r="H9" s="11"/>
      <c r="I9" s="10">
        <v>0</v>
      </c>
      <c r="J9" s="11"/>
      <c r="K9" s="11"/>
    </row>
    <row r="10" spans="1:11" ht="15" thickBot="1" x14ac:dyDescent="0.35">
      <c r="A10" s="8">
        <v>2015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1"/>
    </row>
    <row r="11" spans="1:11" ht="15" thickBot="1" x14ac:dyDescent="0.35">
      <c r="A11" s="8">
        <v>2016</v>
      </c>
      <c r="B11" s="10">
        <v>11918</v>
      </c>
      <c r="C11" s="10">
        <v>1114</v>
      </c>
      <c r="D11" s="10">
        <v>46</v>
      </c>
      <c r="E11" s="10">
        <v>343</v>
      </c>
      <c r="F11" s="10">
        <v>0</v>
      </c>
      <c r="G11" s="10">
        <v>10898</v>
      </c>
      <c r="H11" s="11"/>
      <c r="I11" s="10">
        <v>35</v>
      </c>
      <c r="J11" s="10">
        <v>121</v>
      </c>
      <c r="K11" s="10">
        <v>0</v>
      </c>
    </row>
    <row r="12" spans="1:11" ht="15" thickBot="1" x14ac:dyDescent="0.35">
      <c r="A12" s="8">
        <v>2017</v>
      </c>
      <c r="B12" s="10">
        <v>1</v>
      </c>
      <c r="C12" s="10">
        <v>36</v>
      </c>
      <c r="D12" s="10">
        <v>0</v>
      </c>
      <c r="E12" s="10">
        <v>0</v>
      </c>
      <c r="F12" s="10">
        <v>9</v>
      </c>
      <c r="G12" s="10">
        <v>10</v>
      </c>
      <c r="H12" s="11"/>
      <c r="I12" s="10">
        <v>0</v>
      </c>
      <c r="J12" s="10">
        <v>90</v>
      </c>
      <c r="K12" s="11"/>
    </row>
    <row r="13" spans="1:11" ht="15" thickBot="1" x14ac:dyDescent="0.35">
      <c r="A13" s="8">
        <v>2018</v>
      </c>
      <c r="B13" s="10">
        <v>1</v>
      </c>
      <c r="C13" s="10">
        <v>343</v>
      </c>
      <c r="D13" s="10">
        <v>0</v>
      </c>
      <c r="E13" s="10">
        <v>0</v>
      </c>
      <c r="F13" s="10">
        <v>0</v>
      </c>
      <c r="G13" s="10">
        <v>0</v>
      </c>
      <c r="H13" s="11"/>
      <c r="I13" s="11"/>
      <c r="J13" s="10">
        <v>57</v>
      </c>
      <c r="K13" s="11"/>
    </row>
    <row r="14" spans="1:11" ht="15" thickBot="1" x14ac:dyDescent="0.35">
      <c r="A14" s="8">
        <v>2019</v>
      </c>
      <c r="B14" s="10">
        <v>0</v>
      </c>
      <c r="C14" s="10">
        <v>208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1</v>
      </c>
      <c r="K14" s="10">
        <v>0</v>
      </c>
    </row>
    <row r="15" spans="1:11" ht="15" thickBot="1" x14ac:dyDescent="0.35">
      <c r="A15" s="8">
        <v>2020</v>
      </c>
      <c r="B15" s="10">
        <v>0</v>
      </c>
      <c r="C15" s="10">
        <v>1355</v>
      </c>
      <c r="D15" s="10">
        <v>9</v>
      </c>
      <c r="E15" s="10">
        <v>0</v>
      </c>
      <c r="F15" s="10">
        <v>0</v>
      </c>
      <c r="G15" s="10">
        <v>21019</v>
      </c>
      <c r="H15" s="11"/>
      <c r="I15" s="10">
        <v>20</v>
      </c>
      <c r="J15" s="10">
        <v>328</v>
      </c>
      <c r="K15" s="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67BB4-32CF-4F5B-9C2C-4D27F06E108C}">
  <dimension ref="A1:I13"/>
  <sheetViews>
    <sheetView workbookViewId="0">
      <selection activeCell="M5" sqref="M5"/>
    </sheetView>
  </sheetViews>
  <sheetFormatPr defaultRowHeight="14.4" x14ac:dyDescent="0.3"/>
  <cols>
    <col min="5" max="5" width="14.21875" bestFit="1" customWidth="1"/>
  </cols>
  <sheetData>
    <row r="1" spans="1:9" ht="24.6" thickBot="1" x14ac:dyDescent="0.35">
      <c r="A1" s="1" t="s">
        <v>0</v>
      </c>
      <c r="B1" s="2" t="s">
        <v>1</v>
      </c>
      <c r="C1" s="13" t="s">
        <v>27</v>
      </c>
      <c r="D1" s="17" t="s">
        <v>31</v>
      </c>
      <c r="E1" t="s">
        <v>38</v>
      </c>
      <c r="F1" s="17" t="s">
        <v>39</v>
      </c>
      <c r="G1" s="17" t="s">
        <v>40</v>
      </c>
      <c r="H1" s="2" t="s">
        <v>1</v>
      </c>
      <c r="I1" s="13" t="s">
        <v>27</v>
      </c>
    </row>
    <row r="2" spans="1:9" ht="15.6" thickTop="1" thickBot="1" x14ac:dyDescent="0.35">
      <c r="A2" s="1">
        <v>2010</v>
      </c>
      <c r="B2" s="4">
        <v>195882</v>
      </c>
      <c r="C2" s="12">
        <v>132344</v>
      </c>
      <c r="D2" s="12">
        <v>0</v>
      </c>
      <c r="E2" s="12">
        <v>1562121.8740000001</v>
      </c>
      <c r="F2" s="12">
        <v>1858866.095</v>
      </c>
      <c r="G2" s="12">
        <v>2915583.568</v>
      </c>
      <c r="H2" s="4">
        <v>195882</v>
      </c>
      <c r="I2" s="12">
        <v>132344</v>
      </c>
    </row>
    <row r="3" spans="1:9" ht="15.6" thickTop="1" thickBot="1" x14ac:dyDescent="0.35">
      <c r="A3" s="1">
        <v>2011</v>
      </c>
      <c r="B3" s="4">
        <v>10355</v>
      </c>
      <c r="C3" s="12">
        <v>16</v>
      </c>
      <c r="D3" s="12">
        <v>0</v>
      </c>
      <c r="E3" s="12">
        <v>1673553.878</v>
      </c>
      <c r="F3" s="12">
        <v>2878541.9539999999</v>
      </c>
      <c r="G3" s="12">
        <v>6812806.6210000003</v>
      </c>
      <c r="H3" s="4">
        <v>10355</v>
      </c>
      <c r="I3" s="12">
        <v>16</v>
      </c>
    </row>
    <row r="4" spans="1:9" ht="15.6" thickTop="1" thickBot="1" x14ac:dyDescent="0.35">
      <c r="A4" s="1">
        <v>2012</v>
      </c>
      <c r="B4" s="4">
        <v>18224</v>
      </c>
      <c r="C4" s="12">
        <v>12</v>
      </c>
      <c r="D4" s="12">
        <v>90</v>
      </c>
      <c r="E4" s="12">
        <v>2056181.1869999999</v>
      </c>
      <c r="F4" s="12">
        <v>2977229.9470000002</v>
      </c>
      <c r="G4" s="12">
        <v>4976851.517</v>
      </c>
      <c r="H4" s="4">
        <v>18224</v>
      </c>
      <c r="I4" s="12">
        <v>12</v>
      </c>
    </row>
    <row r="5" spans="1:9" ht="15.6" thickTop="1" thickBot="1" x14ac:dyDescent="0.35">
      <c r="A5" s="1">
        <v>2013</v>
      </c>
      <c r="B5" s="4">
        <v>2954</v>
      </c>
      <c r="C5" s="12">
        <v>0</v>
      </c>
      <c r="D5" s="12">
        <v>0</v>
      </c>
      <c r="E5" s="12">
        <v>1300157.2350000001</v>
      </c>
      <c r="F5" s="12">
        <v>1687224.077</v>
      </c>
      <c r="G5" s="12">
        <v>2860605.2089999998</v>
      </c>
      <c r="H5" s="4">
        <v>2954</v>
      </c>
      <c r="I5" s="12">
        <v>0</v>
      </c>
    </row>
    <row r="6" spans="1:9" ht="15.6" thickTop="1" thickBot="1" x14ac:dyDescent="0.35">
      <c r="A6" s="1">
        <v>2014</v>
      </c>
      <c r="B6" s="4">
        <v>1263</v>
      </c>
      <c r="C6" s="12">
        <v>0</v>
      </c>
      <c r="D6" s="12">
        <v>0</v>
      </c>
      <c r="E6" s="12">
        <v>875105.74600000004</v>
      </c>
      <c r="F6" s="12">
        <v>1354657.25</v>
      </c>
      <c r="G6" s="12">
        <v>2966362.3110000002</v>
      </c>
      <c r="H6" s="4">
        <v>1263</v>
      </c>
      <c r="I6" s="12">
        <v>0</v>
      </c>
    </row>
    <row r="7" spans="1:9" ht="15.6" thickTop="1" thickBot="1" x14ac:dyDescent="0.35">
      <c r="A7" s="1">
        <v>2015</v>
      </c>
      <c r="B7" s="4">
        <v>2786</v>
      </c>
      <c r="C7" s="12">
        <v>0</v>
      </c>
      <c r="D7" s="12">
        <v>0</v>
      </c>
      <c r="E7" s="12">
        <v>724498.19400000002</v>
      </c>
      <c r="F7" s="12">
        <v>1347114.071</v>
      </c>
      <c r="G7" s="12">
        <v>2832815.9939999999</v>
      </c>
      <c r="H7" s="4">
        <v>2786</v>
      </c>
      <c r="I7" s="12">
        <v>0</v>
      </c>
    </row>
    <row r="8" spans="1:9" ht="15.6" thickTop="1" thickBot="1" x14ac:dyDescent="0.35">
      <c r="A8" s="1">
        <v>2016</v>
      </c>
      <c r="B8" s="4">
        <v>76487</v>
      </c>
      <c r="C8" s="12">
        <v>11918</v>
      </c>
      <c r="D8" s="12">
        <v>121</v>
      </c>
      <c r="E8" s="12">
        <v>1886877.889</v>
      </c>
      <c r="F8" s="12">
        <v>2447115.952</v>
      </c>
      <c r="G8" s="12">
        <v>3682730.6889999998</v>
      </c>
      <c r="H8" s="4">
        <v>76487</v>
      </c>
      <c r="I8" s="12">
        <v>11918</v>
      </c>
    </row>
    <row r="9" spans="1:9" ht="15.6" thickTop="1" thickBot="1" x14ac:dyDescent="0.35">
      <c r="A9" s="1">
        <v>2017</v>
      </c>
      <c r="B9" s="4">
        <v>5943</v>
      </c>
      <c r="C9" s="12">
        <v>1</v>
      </c>
      <c r="D9" s="12">
        <v>0</v>
      </c>
      <c r="E9" s="12">
        <v>742098.89099999995</v>
      </c>
      <c r="F9" s="12">
        <v>1268942.8689999999</v>
      </c>
      <c r="G9" s="12">
        <v>3281887.71</v>
      </c>
      <c r="H9" s="4">
        <v>5943</v>
      </c>
      <c r="I9" s="12">
        <v>1</v>
      </c>
    </row>
    <row r="10" spans="1:9" ht="15.6" thickTop="1" thickBot="1" x14ac:dyDescent="0.35">
      <c r="A10" s="1">
        <v>2018</v>
      </c>
      <c r="B10" s="4">
        <v>1773</v>
      </c>
      <c r="C10" s="12">
        <v>1</v>
      </c>
      <c r="D10" s="12">
        <v>0</v>
      </c>
      <c r="E10" s="12">
        <v>606082.62899999996</v>
      </c>
      <c r="F10" s="12">
        <v>1213510.7930000001</v>
      </c>
      <c r="G10">
        <f>1537570.126+F10</f>
        <v>2751080.9189999998</v>
      </c>
      <c r="H10" s="4">
        <v>1773</v>
      </c>
      <c r="I10" s="12">
        <v>1</v>
      </c>
    </row>
    <row r="11" spans="1:9" ht="15.6" thickTop="1" thickBot="1" x14ac:dyDescent="0.35">
      <c r="A11" s="1">
        <v>2019</v>
      </c>
      <c r="B11" s="4">
        <v>3785</v>
      </c>
      <c r="C11" s="12">
        <v>0</v>
      </c>
      <c r="D11" s="12">
        <v>0</v>
      </c>
      <c r="E11" s="12">
        <v>915685.12199999997</v>
      </c>
      <c r="F11" s="12">
        <v>1408571.5830000001</v>
      </c>
      <c r="G11" s="12">
        <v>3062469.98</v>
      </c>
      <c r="H11" s="4">
        <v>3785</v>
      </c>
      <c r="I11" s="12">
        <v>0</v>
      </c>
    </row>
    <row r="12" spans="1:9" ht="15.6" thickTop="1" thickBot="1" x14ac:dyDescent="0.35">
      <c r="A12" s="1">
        <v>2020</v>
      </c>
      <c r="B12" s="4">
        <v>24763</v>
      </c>
      <c r="C12" s="12">
        <v>0</v>
      </c>
      <c r="D12" s="12">
        <v>0</v>
      </c>
      <c r="E12" s="12">
        <v>783769.89300000004</v>
      </c>
      <c r="F12" s="12">
        <v>1625933.1529999999</v>
      </c>
      <c r="G12" s="12">
        <v>2928225.926</v>
      </c>
      <c r="H12" s="4">
        <v>24763</v>
      </c>
      <c r="I12" s="12">
        <v>0</v>
      </c>
    </row>
    <row r="13" spans="1:9" ht="15" thickTop="1" x14ac:dyDescent="0.3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4B4C-EE90-4108-8F65-723979104B3F}">
  <dimension ref="A1:AC28"/>
  <sheetViews>
    <sheetView workbookViewId="0">
      <selection activeCell="N2" sqref="N2:N15"/>
    </sheetView>
  </sheetViews>
  <sheetFormatPr defaultRowHeight="14.4" x14ac:dyDescent="0.3"/>
  <sheetData>
    <row r="1" spans="1:14" ht="36.6" thickBot="1" x14ac:dyDescent="0.35">
      <c r="A1" s="1" t="s">
        <v>0</v>
      </c>
      <c r="B1" s="2" t="s">
        <v>2</v>
      </c>
      <c r="C1" s="13" t="s">
        <v>28</v>
      </c>
      <c r="D1" s="17" t="s">
        <v>32</v>
      </c>
      <c r="E1" t="s">
        <v>11</v>
      </c>
      <c r="F1" t="s">
        <v>12</v>
      </c>
      <c r="G1" t="s">
        <v>38</v>
      </c>
      <c r="H1" s="17" t="s">
        <v>39</v>
      </c>
      <c r="I1" s="17" t="s">
        <v>40</v>
      </c>
      <c r="J1" t="s">
        <v>41</v>
      </c>
      <c r="K1" s="17" t="s">
        <v>42</v>
      </c>
      <c r="L1" s="17" t="s">
        <v>43</v>
      </c>
      <c r="M1" s="2" t="s">
        <v>2</v>
      </c>
      <c r="N1" s="13" t="s">
        <v>28</v>
      </c>
    </row>
    <row r="2" spans="1:14" ht="15.6" thickTop="1" thickBot="1" x14ac:dyDescent="0.35">
      <c r="A2" s="1">
        <v>2007</v>
      </c>
      <c r="B2" s="5">
        <v>4784</v>
      </c>
      <c r="C2" s="14">
        <v>0</v>
      </c>
      <c r="D2" s="14">
        <v>0</v>
      </c>
      <c r="E2">
        <v>4639.2309999999998</v>
      </c>
      <c r="F2">
        <v>2819.1602577499129</v>
      </c>
      <c r="J2">
        <v>365137.85399999999</v>
      </c>
      <c r="K2">
        <v>653077.19999999995</v>
      </c>
      <c r="L2">
        <v>3798051.889</v>
      </c>
      <c r="M2" s="5">
        <v>4784</v>
      </c>
      <c r="N2" s="14">
        <v>0</v>
      </c>
    </row>
    <row r="3" spans="1:14" ht="15.6" thickTop="1" thickBot="1" x14ac:dyDescent="0.35">
      <c r="A3" s="1">
        <v>2008</v>
      </c>
      <c r="B3" s="5">
        <v>15565</v>
      </c>
      <c r="C3" s="14">
        <v>0</v>
      </c>
      <c r="D3" s="14">
        <v>0</v>
      </c>
      <c r="E3">
        <v>4025.6419999999998</v>
      </c>
      <c r="F3">
        <v>3021.3578680897649</v>
      </c>
      <c r="J3" s="14">
        <v>210769</v>
      </c>
      <c r="K3" s="14">
        <v>375924</v>
      </c>
      <c r="L3" s="14">
        <v>1038675</v>
      </c>
      <c r="M3" s="5">
        <v>15565</v>
      </c>
      <c r="N3" s="14">
        <v>0</v>
      </c>
    </row>
    <row r="4" spans="1:14" ht="15.6" thickTop="1" thickBot="1" x14ac:dyDescent="0.35">
      <c r="A4" s="1">
        <v>2009</v>
      </c>
      <c r="B4" s="5">
        <v>9169</v>
      </c>
      <c r="C4" s="14">
        <v>101</v>
      </c>
      <c r="D4" s="14">
        <v>0</v>
      </c>
      <c r="E4">
        <v>3645.5590000000002</v>
      </c>
      <c r="F4">
        <v>3213.6281800766287</v>
      </c>
      <c r="J4" s="14">
        <v>187307</v>
      </c>
      <c r="K4" s="14">
        <v>374082</v>
      </c>
      <c r="L4" s="14">
        <v>1149604</v>
      </c>
      <c r="M4" s="5">
        <v>9169</v>
      </c>
      <c r="N4" s="14">
        <v>101</v>
      </c>
    </row>
    <row r="5" spans="1:14" ht="15.6" thickTop="1" thickBot="1" x14ac:dyDescent="0.35">
      <c r="A5" s="1">
        <v>2010</v>
      </c>
      <c r="B5" s="5">
        <v>4368</v>
      </c>
      <c r="C5" s="14">
        <v>28</v>
      </c>
      <c r="D5" s="14">
        <v>32</v>
      </c>
      <c r="E5">
        <v>19832.16</v>
      </c>
      <c r="F5">
        <v>16677.079514687099</v>
      </c>
      <c r="J5" s="14">
        <v>1199541</v>
      </c>
      <c r="K5" s="14">
        <v>1670796</v>
      </c>
      <c r="L5" s="14">
        <v>2822085</v>
      </c>
      <c r="M5" s="5">
        <v>4368</v>
      </c>
      <c r="N5" s="14">
        <v>28</v>
      </c>
    </row>
    <row r="6" spans="1:14" ht="15.6" thickTop="1" thickBot="1" x14ac:dyDescent="0.35">
      <c r="A6" s="1">
        <v>2011</v>
      </c>
      <c r="B6" s="5">
        <v>25611</v>
      </c>
      <c r="C6" s="14">
        <v>78</v>
      </c>
      <c r="D6" s="14">
        <v>109</v>
      </c>
      <c r="E6">
        <v>47554.455000000002</v>
      </c>
      <c r="F6">
        <v>39678.263122605371</v>
      </c>
      <c r="J6" s="14">
        <v>2794337</v>
      </c>
      <c r="K6" s="14">
        <v>5490841</v>
      </c>
      <c r="L6" s="14">
        <v>16983482</v>
      </c>
      <c r="M6" s="5">
        <v>25611</v>
      </c>
      <c r="N6" s="14">
        <v>78</v>
      </c>
    </row>
    <row r="7" spans="1:14" ht="15.6" thickTop="1" thickBot="1" x14ac:dyDescent="0.35">
      <c r="A7" s="1">
        <v>2012</v>
      </c>
      <c r="B7" s="5">
        <v>27176</v>
      </c>
      <c r="C7" s="14">
        <v>341</v>
      </c>
      <c r="D7" s="14">
        <v>41</v>
      </c>
      <c r="E7">
        <v>33798.828999999998</v>
      </c>
      <c r="F7">
        <v>32015.053178708262</v>
      </c>
      <c r="J7" s="14">
        <v>2056181.1869999999</v>
      </c>
      <c r="K7" s="14">
        <v>2977229.9470000002</v>
      </c>
      <c r="L7" s="14">
        <v>4976851.517</v>
      </c>
      <c r="M7" s="5">
        <v>27176</v>
      </c>
      <c r="N7" s="14">
        <v>341</v>
      </c>
    </row>
    <row r="8" spans="1:14" ht="15.6" thickTop="1" thickBot="1" x14ac:dyDescent="0.35">
      <c r="A8" s="1">
        <v>2013</v>
      </c>
      <c r="B8" s="5">
        <v>19676</v>
      </c>
      <c r="C8" s="14">
        <v>239</v>
      </c>
      <c r="D8" s="14">
        <v>0</v>
      </c>
      <c r="E8">
        <v>11794.727000000001</v>
      </c>
      <c r="F8">
        <v>10514.634578544061</v>
      </c>
      <c r="J8" s="14">
        <v>1300157.2350000001</v>
      </c>
      <c r="K8" s="14">
        <v>1687224.077</v>
      </c>
      <c r="L8" s="14">
        <v>2860605.2089999998</v>
      </c>
      <c r="M8" s="5">
        <v>19676</v>
      </c>
      <c r="N8" s="14">
        <v>239</v>
      </c>
    </row>
    <row r="9" spans="1:14" ht="15.6" thickTop="1" thickBot="1" x14ac:dyDescent="0.35">
      <c r="A9" s="1">
        <v>2014</v>
      </c>
      <c r="B9" s="5">
        <v>34277</v>
      </c>
      <c r="C9" s="14">
        <v>216</v>
      </c>
      <c r="D9" s="14">
        <v>0</v>
      </c>
      <c r="E9">
        <v>8288.5849999999991</v>
      </c>
      <c r="F9">
        <v>7492.3128033205612</v>
      </c>
      <c r="J9" s="14">
        <v>875105.74600000004</v>
      </c>
      <c r="K9" s="14">
        <v>1354647.25</v>
      </c>
      <c r="L9" s="14">
        <v>2966362.3110000002</v>
      </c>
      <c r="M9" s="5">
        <v>34277</v>
      </c>
      <c r="N9" s="14">
        <v>216</v>
      </c>
    </row>
    <row r="10" spans="1:14" ht="15.6" thickTop="1" thickBot="1" x14ac:dyDescent="0.35">
      <c r="A10" s="1">
        <v>2015</v>
      </c>
      <c r="B10" s="5">
        <v>18344</v>
      </c>
      <c r="C10" s="14">
        <v>0</v>
      </c>
      <c r="D10" s="14">
        <v>0</v>
      </c>
      <c r="E10">
        <v>7124.2610000000004</v>
      </c>
      <c r="F10">
        <v>7306.0630161770969</v>
      </c>
      <c r="J10" s="14">
        <v>740081</v>
      </c>
      <c r="K10" s="14">
        <v>1201491</v>
      </c>
      <c r="L10" s="14">
        <v>2780255</v>
      </c>
      <c r="M10" s="5">
        <v>18344</v>
      </c>
      <c r="N10" s="14">
        <v>0</v>
      </c>
    </row>
    <row r="11" spans="1:14" ht="15.6" thickTop="1" thickBot="1" x14ac:dyDescent="0.35">
      <c r="A11" s="1">
        <v>2016</v>
      </c>
      <c r="B11" s="5">
        <v>4787</v>
      </c>
      <c r="C11" s="14">
        <v>1114</v>
      </c>
      <c r="D11" s="14">
        <v>42</v>
      </c>
      <c r="E11">
        <v>24883.796999999999</v>
      </c>
      <c r="F11">
        <v>23787.066085112208</v>
      </c>
      <c r="J11" s="14">
        <v>2746937</v>
      </c>
      <c r="K11" s="14">
        <v>3084957</v>
      </c>
      <c r="L11" s="14">
        <v>4458134</v>
      </c>
      <c r="M11" s="5">
        <v>4787</v>
      </c>
      <c r="N11" s="14">
        <v>1114</v>
      </c>
    </row>
    <row r="12" spans="1:14" ht="15.6" thickTop="1" thickBot="1" x14ac:dyDescent="0.35">
      <c r="A12" s="1">
        <v>2017</v>
      </c>
      <c r="B12" s="5">
        <v>18494</v>
      </c>
      <c r="C12" s="14">
        <v>36</v>
      </c>
      <c r="D12" s="14">
        <v>0</v>
      </c>
      <c r="E12">
        <v>8624.5239999999994</v>
      </c>
      <c r="F12">
        <v>8720.5904108131126</v>
      </c>
      <c r="J12" s="14">
        <v>680773</v>
      </c>
      <c r="K12" s="14">
        <v>1237677</v>
      </c>
      <c r="L12" s="14">
        <v>7179771</v>
      </c>
      <c r="M12" s="5">
        <v>18494</v>
      </c>
      <c r="N12" s="14">
        <v>36</v>
      </c>
    </row>
    <row r="13" spans="1:14" ht="15.6" thickTop="1" thickBot="1" x14ac:dyDescent="0.35">
      <c r="A13" s="1">
        <v>2018</v>
      </c>
      <c r="B13" s="5">
        <v>19627</v>
      </c>
      <c r="C13" s="14">
        <v>343</v>
      </c>
      <c r="D13" s="14">
        <v>0</v>
      </c>
      <c r="E13">
        <v>5179.933</v>
      </c>
      <c r="F13">
        <v>6437.8788207747975</v>
      </c>
      <c r="J13" s="14">
        <v>577273</v>
      </c>
      <c r="K13" s="14">
        <v>987643</v>
      </c>
      <c r="L13" s="14">
        <v>2583054</v>
      </c>
      <c r="M13" s="5">
        <v>19627</v>
      </c>
      <c r="N13" s="14">
        <v>343</v>
      </c>
    </row>
    <row r="14" spans="1:14" ht="15.6" thickTop="1" thickBot="1" x14ac:dyDescent="0.35">
      <c r="A14" s="1">
        <v>2019</v>
      </c>
      <c r="B14" s="5">
        <v>19663</v>
      </c>
      <c r="C14" s="14">
        <v>208</v>
      </c>
      <c r="D14" s="14">
        <v>0</v>
      </c>
      <c r="E14">
        <v>6573.1220000000003</v>
      </c>
      <c r="F14">
        <v>7013.3574393358876</v>
      </c>
      <c r="J14" s="14">
        <v>378391</v>
      </c>
      <c r="K14" s="14">
        <v>749081</v>
      </c>
      <c r="L14" s="14">
        <v>2211894</v>
      </c>
      <c r="M14" s="5">
        <v>19663</v>
      </c>
      <c r="N14" s="14">
        <v>208</v>
      </c>
    </row>
    <row r="15" spans="1:14" ht="15.6" thickTop="1" thickBot="1" x14ac:dyDescent="0.35">
      <c r="A15" s="1">
        <v>2020</v>
      </c>
      <c r="B15" s="5">
        <v>21489</v>
      </c>
      <c r="C15" s="14">
        <v>1355</v>
      </c>
      <c r="D15" s="14">
        <v>0</v>
      </c>
      <c r="E15">
        <v>1124.2819999999999</v>
      </c>
      <c r="F15">
        <v>8074.0108784893273</v>
      </c>
      <c r="J15" s="14">
        <v>889090</v>
      </c>
      <c r="K15" s="14">
        <v>1326324</v>
      </c>
      <c r="L15" s="14">
        <v>2984212</v>
      </c>
      <c r="M15" s="5">
        <v>21489</v>
      </c>
      <c r="N15" s="14">
        <v>1355</v>
      </c>
    </row>
    <row r="16" spans="1:14" ht="15" thickTop="1" x14ac:dyDescent="0.3"/>
    <row r="28" spans="29:29" x14ac:dyDescent="0.3">
      <c r="AC28" t="s">
        <v>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49F8F-2641-4ACD-9149-9EC53FC10F7B}">
  <dimension ref="A1:AT13"/>
  <sheetViews>
    <sheetView tabSelected="1" workbookViewId="0">
      <selection sqref="A1:B12"/>
    </sheetView>
  </sheetViews>
  <sheetFormatPr defaultRowHeight="14.4" x14ac:dyDescent="0.3"/>
  <sheetData>
    <row r="1" spans="1:46" ht="24.6" thickBot="1" x14ac:dyDescent="0.35">
      <c r="A1" s="1" t="s">
        <v>0</v>
      </c>
      <c r="B1" s="2" t="s">
        <v>3</v>
      </c>
      <c r="C1" s="13" t="s">
        <v>28</v>
      </c>
      <c r="D1" t="s">
        <v>13</v>
      </c>
      <c r="E1" t="s">
        <v>14</v>
      </c>
      <c r="F1" t="s">
        <v>15</v>
      </c>
      <c r="G1" t="s">
        <v>25</v>
      </c>
      <c r="H1" t="s">
        <v>26</v>
      </c>
      <c r="I1" t="s">
        <v>44</v>
      </c>
      <c r="J1" s="17" t="s">
        <v>46</v>
      </c>
      <c r="K1" s="17" t="s">
        <v>45</v>
      </c>
      <c r="L1" s="17" t="s">
        <v>54</v>
      </c>
      <c r="M1" t="s">
        <v>47</v>
      </c>
      <c r="N1" s="17" t="s">
        <v>48</v>
      </c>
      <c r="O1" s="17" t="s">
        <v>49</v>
      </c>
      <c r="P1" s="2" t="s">
        <v>3</v>
      </c>
      <c r="Q1" s="13" t="s">
        <v>28</v>
      </c>
    </row>
    <row r="2" spans="1:46" ht="15.6" thickTop="1" thickBot="1" x14ac:dyDescent="0.35">
      <c r="A2" s="1">
        <v>2010</v>
      </c>
      <c r="B2" s="4">
        <v>1059</v>
      </c>
      <c r="C2" s="12">
        <v>3</v>
      </c>
      <c r="D2">
        <v>128.04499999999999</v>
      </c>
      <c r="E2">
        <v>170.98</v>
      </c>
      <c r="F2">
        <v>268.108</v>
      </c>
      <c r="G2">
        <v>2.618203125</v>
      </c>
      <c r="H2">
        <v>29.380624999999998</v>
      </c>
      <c r="I2">
        <v>12379.522000000001</v>
      </c>
      <c r="J2">
        <v>16600.183000000001</v>
      </c>
      <c r="K2">
        <v>22766.635999999999</v>
      </c>
      <c r="M2">
        <v>20785.695</v>
      </c>
      <c r="N2">
        <v>24091.074000000001</v>
      </c>
      <c r="O2">
        <v>36585.478000000003</v>
      </c>
      <c r="P2" s="4">
        <v>2118</v>
      </c>
      <c r="Q2" s="12">
        <v>3</v>
      </c>
    </row>
    <row r="3" spans="1:46" ht="15.6" thickTop="1" thickBot="1" x14ac:dyDescent="0.35">
      <c r="A3" s="1">
        <v>2011</v>
      </c>
      <c r="B3" s="4">
        <v>27327</v>
      </c>
      <c r="C3" s="12">
        <v>0</v>
      </c>
      <c r="D3">
        <v>160.06700000000001</v>
      </c>
      <c r="E3">
        <v>217.589</v>
      </c>
      <c r="F3">
        <v>360.149</v>
      </c>
      <c r="G3">
        <v>4.0896780303030305</v>
      </c>
      <c r="H3">
        <v>40.555</v>
      </c>
      <c r="I3">
        <v>1892.7629999999999</v>
      </c>
      <c r="J3">
        <v>5272.05</v>
      </c>
      <c r="K3">
        <v>74045.875</v>
      </c>
      <c r="M3">
        <v>7331.2479999999996</v>
      </c>
      <c r="N3">
        <v>18983.491000000002</v>
      </c>
      <c r="O3">
        <v>96755.077000000005</v>
      </c>
      <c r="P3" s="4">
        <v>39194</v>
      </c>
      <c r="Q3" s="12">
        <v>0</v>
      </c>
    </row>
    <row r="4" spans="1:46" ht="15.6" thickTop="1" thickBot="1" x14ac:dyDescent="0.35">
      <c r="A4" s="1">
        <v>2012</v>
      </c>
      <c r="B4" s="4">
        <v>24804</v>
      </c>
      <c r="C4" s="12">
        <v>7</v>
      </c>
      <c r="D4">
        <v>303.399</v>
      </c>
      <c r="E4">
        <v>968.91300000000001</v>
      </c>
      <c r="F4">
        <v>1380.23</v>
      </c>
      <c r="G4">
        <v>6.8178437499999998</v>
      </c>
      <c r="H4">
        <v>53.791874999999997</v>
      </c>
      <c r="I4">
        <v>0</v>
      </c>
      <c r="J4">
        <v>55159.502</v>
      </c>
      <c r="K4">
        <v>95563.508000000002</v>
      </c>
      <c r="L4" t="s">
        <v>85</v>
      </c>
      <c r="M4">
        <v>145175.03200000001</v>
      </c>
      <c r="N4">
        <v>277864.86099999998</v>
      </c>
      <c r="O4">
        <v>342078.83100000001</v>
      </c>
      <c r="P4" s="4">
        <v>30254</v>
      </c>
      <c r="Q4" s="12">
        <v>7</v>
      </c>
    </row>
    <row r="5" spans="1:46" ht="15.6" thickTop="1" thickBot="1" x14ac:dyDescent="0.35">
      <c r="A5" s="1">
        <v>2013</v>
      </c>
      <c r="B5" s="4">
        <v>3811</v>
      </c>
      <c r="C5" s="12">
        <v>0</v>
      </c>
      <c r="D5">
        <v>101.128</v>
      </c>
      <c r="E5">
        <v>173.339</v>
      </c>
      <c r="F5">
        <v>273.19400000000002</v>
      </c>
      <c r="G5">
        <v>2.905955882352941</v>
      </c>
      <c r="H5">
        <v>16.073125000000001</v>
      </c>
      <c r="I5">
        <v>11686.675999999999</v>
      </c>
      <c r="J5">
        <v>18943.951000000001</v>
      </c>
      <c r="K5">
        <v>54327.233999999997</v>
      </c>
      <c r="L5" t="s">
        <v>84</v>
      </c>
      <c r="M5">
        <v>23708.996999999999</v>
      </c>
      <c r="N5">
        <v>43179.105000000003</v>
      </c>
      <c r="O5">
        <v>79328.913</v>
      </c>
      <c r="P5" s="4">
        <v>7586</v>
      </c>
      <c r="Q5" s="12">
        <v>0</v>
      </c>
    </row>
    <row r="6" spans="1:46" ht="15.6" thickTop="1" thickBot="1" x14ac:dyDescent="0.35">
      <c r="A6" s="1">
        <v>2014</v>
      </c>
      <c r="B6" s="4">
        <v>2287</v>
      </c>
      <c r="C6" s="12">
        <v>0</v>
      </c>
      <c r="D6">
        <v>45.57</v>
      </c>
      <c r="E6">
        <v>63.02</v>
      </c>
      <c r="F6">
        <v>86.563000000000002</v>
      </c>
      <c r="G6">
        <v>0.86287202380952388</v>
      </c>
      <c r="H6">
        <v>5.8025000000000002</v>
      </c>
      <c r="I6">
        <v>3199.393</v>
      </c>
      <c r="J6">
        <v>5692.65</v>
      </c>
      <c r="K6">
        <v>17500.705999999998</v>
      </c>
      <c r="M6">
        <v>6133.5550000000003</v>
      </c>
      <c r="N6">
        <v>9172.4210000000003</v>
      </c>
      <c r="O6">
        <v>23316.370999999999</v>
      </c>
      <c r="P6" s="4">
        <v>670</v>
      </c>
      <c r="Q6" s="12">
        <v>0</v>
      </c>
    </row>
    <row r="7" spans="1:46" ht="15.6" thickTop="1" thickBot="1" x14ac:dyDescent="0.35">
      <c r="A7" s="1">
        <v>2015</v>
      </c>
      <c r="B7" s="4">
        <v>7224</v>
      </c>
      <c r="C7" s="12">
        <v>0</v>
      </c>
      <c r="D7">
        <v>138.84299999999999</v>
      </c>
      <c r="E7">
        <v>178.654</v>
      </c>
      <c r="F7">
        <v>229.50399999999999</v>
      </c>
      <c r="G7">
        <v>1.4802361111111113</v>
      </c>
      <c r="H7">
        <v>12.64625</v>
      </c>
      <c r="I7">
        <v>24984.635999999999</v>
      </c>
      <c r="J7">
        <v>27064.558000000001</v>
      </c>
      <c r="K7">
        <v>3668.6759999999999</v>
      </c>
      <c r="M7">
        <v>35969.584000000003</v>
      </c>
      <c r="N7">
        <v>39548.894999999997</v>
      </c>
      <c r="O7">
        <v>53343.64</v>
      </c>
      <c r="P7" s="4">
        <v>10779</v>
      </c>
      <c r="Q7" s="12">
        <v>0</v>
      </c>
    </row>
    <row r="8" spans="1:46" ht="15.6" thickTop="1" thickBot="1" x14ac:dyDescent="0.35">
      <c r="A8" s="1">
        <v>2016</v>
      </c>
      <c r="B8" s="4">
        <v>4575</v>
      </c>
      <c r="C8" s="12">
        <v>46</v>
      </c>
      <c r="D8">
        <v>430.23500000000001</v>
      </c>
      <c r="E8">
        <v>646.83699999999999</v>
      </c>
      <c r="F8">
        <v>1345.549</v>
      </c>
      <c r="G8">
        <v>9.1743269230769222</v>
      </c>
      <c r="H8">
        <v>70.846874999999997</v>
      </c>
      <c r="I8">
        <v>52838.879000000001</v>
      </c>
      <c r="J8">
        <v>56106.699000000001</v>
      </c>
      <c r="K8">
        <v>81010.047000000006</v>
      </c>
      <c r="M8">
        <v>86874.664000000004</v>
      </c>
      <c r="N8">
        <v>90704.888000000006</v>
      </c>
      <c r="O8">
        <v>116887.451</v>
      </c>
      <c r="P8" s="4">
        <v>4917</v>
      </c>
      <c r="Q8" s="12">
        <v>46</v>
      </c>
    </row>
    <row r="9" spans="1:46" ht="15.6" thickTop="1" thickBot="1" x14ac:dyDescent="0.35">
      <c r="A9" s="1">
        <v>2017</v>
      </c>
      <c r="B9" s="4">
        <v>3205</v>
      </c>
      <c r="C9" s="12">
        <v>0</v>
      </c>
      <c r="D9">
        <v>177.31700000000001</v>
      </c>
      <c r="E9">
        <v>208.33699999999999</v>
      </c>
      <c r="F9">
        <v>180.12</v>
      </c>
      <c r="G9">
        <v>2.6109765624999999</v>
      </c>
      <c r="H9">
        <v>15.948124999999999</v>
      </c>
      <c r="I9">
        <v>2330.3310000000001</v>
      </c>
      <c r="J9">
        <v>7058.4939999999997</v>
      </c>
      <c r="K9">
        <v>137902.81400000001</v>
      </c>
      <c r="M9">
        <v>3960.4029999999998</v>
      </c>
      <c r="N9">
        <v>9114.3420000000006</v>
      </c>
      <c r="O9">
        <v>186400.14</v>
      </c>
      <c r="P9" s="4">
        <v>6344</v>
      </c>
      <c r="Q9" s="12">
        <v>0</v>
      </c>
    </row>
    <row r="10" spans="1:46" ht="15.6" thickTop="1" thickBot="1" x14ac:dyDescent="0.35">
      <c r="A10" s="1">
        <v>2018</v>
      </c>
      <c r="B10" s="4">
        <v>1240</v>
      </c>
      <c r="C10" s="12">
        <v>0</v>
      </c>
      <c r="D10">
        <v>62.667000000000002</v>
      </c>
      <c r="E10">
        <v>80.375</v>
      </c>
      <c r="F10">
        <v>93.533000000000001</v>
      </c>
      <c r="G10">
        <v>0.9292952127659575</v>
      </c>
      <c r="H10">
        <v>5.77</v>
      </c>
      <c r="I10">
        <v>2563.0010000000002</v>
      </c>
      <c r="J10">
        <v>6961.3270000000002</v>
      </c>
      <c r="K10">
        <v>34835.921999999999</v>
      </c>
      <c r="M10">
        <v>6012.4430000000002</v>
      </c>
      <c r="N10">
        <v>12168.253000000001</v>
      </c>
      <c r="O10">
        <v>47777.042000000001</v>
      </c>
      <c r="P10" s="4">
        <v>2197</v>
      </c>
      <c r="Q10" s="12">
        <v>0</v>
      </c>
    </row>
    <row r="11" spans="1:46" ht="15.6" thickTop="1" thickBot="1" x14ac:dyDescent="0.35">
      <c r="A11" s="1">
        <v>2019</v>
      </c>
      <c r="B11" s="4">
        <v>1272</v>
      </c>
      <c r="C11" s="12">
        <v>0</v>
      </c>
      <c r="D11">
        <v>75.86</v>
      </c>
      <c r="E11">
        <v>93.831000000000003</v>
      </c>
      <c r="F11">
        <v>114.898</v>
      </c>
      <c r="G11">
        <v>0.63790178571428569</v>
      </c>
      <c r="H11">
        <v>4.0831249999999999</v>
      </c>
      <c r="I11">
        <v>1613.5129999999999</v>
      </c>
      <c r="J11">
        <v>11475.462</v>
      </c>
      <c r="K11">
        <v>26991.26</v>
      </c>
      <c r="M11">
        <v>1506.56</v>
      </c>
      <c r="N11">
        <v>13275.681</v>
      </c>
      <c r="O11">
        <v>32452.895</v>
      </c>
      <c r="P11" s="4">
        <v>1272</v>
      </c>
      <c r="Q11" s="12">
        <v>0</v>
      </c>
    </row>
    <row r="12" spans="1:46" ht="15.6" thickTop="1" thickBot="1" x14ac:dyDescent="0.35">
      <c r="A12" s="1">
        <v>2020</v>
      </c>
      <c r="B12" s="4">
        <v>7168</v>
      </c>
      <c r="C12" s="12">
        <v>9</v>
      </c>
      <c r="D12">
        <v>176.48400000000001</v>
      </c>
      <c r="E12">
        <v>226.18600000000001</v>
      </c>
      <c r="F12">
        <v>392.19900000000001</v>
      </c>
      <c r="G12">
        <v>1.225625</v>
      </c>
      <c r="H12">
        <v>10.708125000000001</v>
      </c>
      <c r="I12">
        <v>21737.867999999999</v>
      </c>
      <c r="J12">
        <v>25109.280999999999</v>
      </c>
      <c r="K12">
        <v>35146.091</v>
      </c>
      <c r="M12">
        <v>32050.717000000001</v>
      </c>
      <c r="N12">
        <v>36387.906999999999</v>
      </c>
      <c r="O12">
        <v>49074.892999999996</v>
      </c>
      <c r="P12" s="4">
        <v>4986</v>
      </c>
      <c r="Q12" s="12">
        <v>9</v>
      </c>
    </row>
    <row r="13" spans="1:46" ht="15" thickTop="1" x14ac:dyDescent="0.3">
      <c r="AT13" t="s">
        <v>86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9249-1EC5-4B0C-A67A-ECE373A76AC5}">
  <dimension ref="A1:Z21"/>
  <sheetViews>
    <sheetView workbookViewId="0">
      <selection activeCell="M2" activeCellId="1" sqref="H2:J12 M2:M12"/>
    </sheetView>
  </sheetViews>
  <sheetFormatPr defaultRowHeight="14.4" x14ac:dyDescent="0.3"/>
  <sheetData>
    <row r="1" spans="1:13" ht="24.6" thickBot="1" x14ac:dyDescent="0.35">
      <c r="A1" s="1" t="s">
        <v>0</v>
      </c>
      <c r="B1" s="2" t="s">
        <v>4</v>
      </c>
      <c r="C1" s="13" t="s">
        <v>28</v>
      </c>
      <c r="D1" s="13" t="s">
        <v>30</v>
      </c>
      <c r="E1" t="s">
        <v>16</v>
      </c>
      <c r="F1" t="s">
        <v>17</v>
      </c>
      <c r="G1" t="s">
        <v>18</v>
      </c>
      <c r="H1" t="s">
        <v>50</v>
      </c>
      <c r="I1" s="17" t="s">
        <v>51</v>
      </c>
      <c r="J1" s="17" t="s">
        <v>52</v>
      </c>
      <c r="K1" t="s">
        <v>54</v>
      </c>
      <c r="L1" s="2" t="s">
        <v>4</v>
      </c>
      <c r="M1" s="13" t="s">
        <v>28</v>
      </c>
    </row>
    <row r="2" spans="1:13" ht="15.6" thickTop="1" thickBot="1" x14ac:dyDescent="0.35">
      <c r="A2" s="1">
        <v>2010</v>
      </c>
      <c r="B2" s="4">
        <v>6887</v>
      </c>
      <c r="C2" s="12">
        <v>13</v>
      </c>
      <c r="D2" s="12"/>
      <c r="E2">
        <v>276.74299999999999</v>
      </c>
      <c r="F2">
        <v>523.79</v>
      </c>
      <c r="G2">
        <v>1139.6759999999999</v>
      </c>
      <c r="H2">
        <v>88511.046000000002</v>
      </c>
      <c r="I2">
        <v>89537.001999999993</v>
      </c>
      <c r="J2">
        <v>114175.428</v>
      </c>
      <c r="K2" t="s">
        <v>83</v>
      </c>
      <c r="L2" s="4">
        <v>6887</v>
      </c>
      <c r="M2" s="12">
        <v>13</v>
      </c>
    </row>
    <row r="3" spans="1:13" ht="15.6" thickTop="1" thickBot="1" x14ac:dyDescent="0.35">
      <c r="A3" s="1">
        <v>2011</v>
      </c>
      <c r="B3" s="4">
        <v>13021</v>
      </c>
      <c r="C3" s="12">
        <v>6</v>
      </c>
      <c r="D3" s="12"/>
      <c r="E3">
        <v>901.16499999999996</v>
      </c>
      <c r="F3">
        <v>1655.0709999999999</v>
      </c>
      <c r="G3">
        <v>2728.1390000000001</v>
      </c>
      <c r="H3">
        <v>17458.982</v>
      </c>
      <c r="I3">
        <v>27571.917000000001</v>
      </c>
      <c r="J3">
        <v>163662.20000000001</v>
      </c>
      <c r="L3" s="4">
        <v>13021</v>
      </c>
      <c r="M3" s="12">
        <v>6</v>
      </c>
    </row>
    <row r="4" spans="1:13" ht="15.6" thickTop="1" thickBot="1" x14ac:dyDescent="0.35">
      <c r="A4" s="1">
        <v>2012</v>
      </c>
      <c r="B4" s="4">
        <v>4903</v>
      </c>
      <c r="C4" s="12">
        <v>2</v>
      </c>
      <c r="D4" s="12"/>
      <c r="E4">
        <v>1149.614</v>
      </c>
      <c r="F4">
        <v>1750.288</v>
      </c>
      <c r="G4">
        <v>3054.1219999999998</v>
      </c>
      <c r="H4">
        <v>41526.900999999998</v>
      </c>
      <c r="I4">
        <v>106822.247</v>
      </c>
      <c r="J4">
        <v>1132490.0889999999</v>
      </c>
      <c r="L4" s="4">
        <v>4903</v>
      </c>
      <c r="M4" s="12">
        <v>2</v>
      </c>
    </row>
    <row r="5" spans="1:13" ht="24" thickTop="1" thickBot="1" x14ac:dyDescent="0.35">
      <c r="A5" s="1">
        <v>2013</v>
      </c>
      <c r="B5" s="3"/>
      <c r="C5" s="15"/>
      <c r="D5" s="15"/>
      <c r="E5">
        <v>1432.164</v>
      </c>
      <c r="F5">
        <v>635.59699999999998</v>
      </c>
      <c r="G5">
        <v>1892.99</v>
      </c>
      <c r="H5">
        <v>15847.724</v>
      </c>
      <c r="I5">
        <v>29052.99</v>
      </c>
      <c r="J5">
        <v>230906.33</v>
      </c>
      <c r="L5" s="3"/>
      <c r="M5" s="15"/>
    </row>
    <row r="6" spans="1:13" ht="15.6" thickTop="1" thickBot="1" x14ac:dyDescent="0.35">
      <c r="A6" s="1">
        <v>2014</v>
      </c>
      <c r="B6" s="4">
        <v>2057</v>
      </c>
      <c r="C6" s="12">
        <v>0</v>
      </c>
      <c r="D6" s="12"/>
      <c r="E6">
        <v>1294.1859999999999</v>
      </c>
      <c r="F6">
        <v>295.49799999999999</v>
      </c>
      <c r="G6">
        <v>1221.691</v>
      </c>
      <c r="H6">
        <v>16826.871999999999</v>
      </c>
      <c r="I6">
        <v>19936.914000000001</v>
      </c>
      <c r="J6">
        <v>99067.357000000004</v>
      </c>
      <c r="L6" s="4">
        <v>2057</v>
      </c>
      <c r="M6" s="12">
        <v>0</v>
      </c>
    </row>
    <row r="7" spans="1:13" ht="15.6" thickTop="1" thickBot="1" x14ac:dyDescent="0.35">
      <c r="A7" s="1">
        <v>2015</v>
      </c>
      <c r="B7" s="4">
        <v>1027</v>
      </c>
      <c r="C7" s="12">
        <v>0</v>
      </c>
      <c r="D7" s="12"/>
      <c r="E7">
        <v>419.28399999999999</v>
      </c>
      <c r="F7">
        <v>292.14699999999999</v>
      </c>
      <c r="G7">
        <v>709.48900000000003</v>
      </c>
      <c r="H7">
        <v>34449.129000000001</v>
      </c>
      <c r="I7">
        <v>47453.404000000002</v>
      </c>
      <c r="J7">
        <v>134839.33199999999</v>
      </c>
      <c r="L7" s="4">
        <v>1027</v>
      </c>
      <c r="M7" s="12">
        <v>0</v>
      </c>
    </row>
    <row r="8" spans="1:13" ht="15.6" thickTop="1" thickBot="1" x14ac:dyDescent="0.35">
      <c r="A8" s="1">
        <v>2016</v>
      </c>
      <c r="B8" s="4">
        <v>2454</v>
      </c>
      <c r="C8" s="12">
        <v>343</v>
      </c>
      <c r="D8" s="12"/>
      <c r="E8">
        <v>427.26600000000002</v>
      </c>
      <c r="F8">
        <v>641.02800000000002</v>
      </c>
      <c r="G8">
        <v>1299.0640000000001</v>
      </c>
      <c r="H8">
        <v>171721.17</v>
      </c>
      <c r="I8">
        <v>192799.38099999999</v>
      </c>
      <c r="J8">
        <v>224733.171</v>
      </c>
      <c r="K8" t="s">
        <v>82</v>
      </c>
      <c r="L8" s="4">
        <v>2454</v>
      </c>
      <c r="M8" s="12">
        <v>343</v>
      </c>
    </row>
    <row r="9" spans="1:13" ht="15.6" thickTop="1" thickBot="1" x14ac:dyDescent="0.35">
      <c r="A9" s="1">
        <v>2017</v>
      </c>
      <c r="B9" s="4">
        <v>2005</v>
      </c>
      <c r="C9" s="12">
        <v>0</v>
      </c>
      <c r="D9" s="12"/>
      <c r="E9">
        <v>1095.778</v>
      </c>
      <c r="F9">
        <v>348.69200000000001</v>
      </c>
      <c r="G9">
        <v>1231.588</v>
      </c>
      <c r="H9">
        <v>20682.080000000002</v>
      </c>
      <c r="I9">
        <f>12394.693+H9</f>
        <v>33076.773000000001</v>
      </c>
      <c r="J9">
        <f>96399.298+H9</f>
        <v>117081.378</v>
      </c>
      <c r="L9" s="4">
        <v>2005</v>
      </c>
      <c r="M9" s="12">
        <v>0</v>
      </c>
    </row>
    <row r="10" spans="1:13" ht="15.6" thickTop="1" thickBot="1" x14ac:dyDescent="0.35">
      <c r="A10" s="1">
        <v>2018</v>
      </c>
      <c r="B10" s="4">
        <v>12472</v>
      </c>
      <c r="C10" s="12">
        <v>0</v>
      </c>
      <c r="D10" s="12"/>
      <c r="E10">
        <v>937.99300000000005</v>
      </c>
      <c r="F10">
        <v>255.42</v>
      </c>
      <c r="G10">
        <v>863.58699999999999</v>
      </c>
      <c r="H10">
        <v>46682.39</v>
      </c>
      <c r="I10">
        <f>2011.987+H10</f>
        <v>48694.377</v>
      </c>
      <c r="J10">
        <f>62288.149+I10</f>
        <v>110982.526</v>
      </c>
      <c r="L10" s="4">
        <v>12472</v>
      </c>
      <c r="M10" s="12">
        <v>0</v>
      </c>
    </row>
    <row r="11" spans="1:13" ht="15.6" thickTop="1" thickBot="1" x14ac:dyDescent="0.35">
      <c r="A11" s="1">
        <v>2019</v>
      </c>
      <c r="B11" s="4">
        <v>1012</v>
      </c>
      <c r="C11" s="12">
        <v>0</v>
      </c>
      <c r="D11" s="12"/>
      <c r="E11">
        <v>365.92700000000002</v>
      </c>
      <c r="F11">
        <v>65.841999999999999</v>
      </c>
      <c r="G11">
        <v>310.714</v>
      </c>
      <c r="H11">
        <v>324.822</v>
      </c>
      <c r="I11">
        <f>3421.634+H11</f>
        <v>3746.4560000000001</v>
      </c>
      <c r="J11">
        <f>35802.272+I11</f>
        <v>39548.727999999996</v>
      </c>
      <c r="K11" t="s">
        <v>74</v>
      </c>
      <c r="L11" s="4">
        <v>1012</v>
      </c>
      <c r="M11" s="12">
        <v>0</v>
      </c>
    </row>
    <row r="12" spans="1:13" ht="15.6" thickTop="1" thickBot="1" x14ac:dyDescent="0.35">
      <c r="A12" s="1">
        <v>2020</v>
      </c>
      <c r="B12" s="4">
        <v>10602</v>
      </c>
      <c r="C12" s="12">
        <v>0</v>
      </c>
      <c r="D12" s="12"/>
      <c r="E12">
        <v>221.91800000000001</v>
      </c>
      <c r="F12">
        <v>286.69600000000003</v>
      </c>
      <c r="G12">
        <v>675.20399999999995</v>
      </c>
      <c r="H12">
        <v>7455.56</v>
      </c>
      <c r="I12">
        <f>7897.373+H12</f>
        <v>15352.933000000001</v>
      </c>
      <c r="J12">
        <f>40722.056+I12</f>
        <v>56074.989000000001</v>
      </c>
      <c r="K12" t="s">
        <v>61</v>
      </c>
      <c r="L12" s="4">
        <v>10602</v>
      </c>
      <c r="M12" s="12">
        <v>0</v>
      </c>
    </row>
    <row r="13" spans="1:13" ht="15" thickTop="1" x14ac:dyDescent="0.3"/>
    <row r="21" spans="26:26" x14ac:dyDescent="0.3">
      <c r="Z21" t="s">
        <v>29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F802C-90B9-4C56-B5AE-2ADB3744F461}">
  <dimension ref="A1:AH16"/>
  <sheetViews>
    <sheetView topLeftCell="B1" workbookViewId="0">
      <selection activeCell="L2" activeCellId="1" sqref="H2:J15 L2:L15"/>
    </sheetView>
  </sheetViews>
  <sheetFormatPr defaultRowHeight="14.4" x14ac:dyDescent="0.3"/>
  <cols>
    <col min="10" max="10" width="10" bestFit="1" customWidth="1"/>
  </cols>
  <sheetData>
    <row r="1" spans="1:34" ht="36.6" thickBot="1" x14ac:dyDescent="0.35">
      <c r="A1" s="1" t="s">
        <v>0</v>
      </c>
      <c r="B1" s="2" t="s">
        <v>5</v>
      </c>
      <c r="C1" s="13" t="s">
        <v>28</v>
      </c>
      <c r="D1" s="17" t="s">
        <v>33</v>
      </c>
      <c r="E1" s="17" t="s">
        <v>34</v>
      </c>
      <c r="F1" t="s">
        <v>19</v>
      </c>
      <c r="G1" t="s">
        <v>20</v>
      </c>
      <c r="H1" t="s">
        <v>78</v>
      </c>
      <c r="I1" s="17" t="s">
        <v>79</v>
      </c>
      <c r="J1" s="17" t="s">
        <v>80</v>
      </c>
      <c r="K1" s="2" t="s">
        <v>5</v>
      </c>
      <c r="L1" s="13" t="s">
        <v>28</v>
      </c>
    </row>
    <row r="2" spans="1:34" ht="15.6" thickTop="1" thickBot="1" x14ac:dyDescent="0.35">
      <c r="A2" s="1">
        <v>2007</v>
      </c>
      <c r="B2" s="5">
        <v>16121</v>
      </c>
      <c r="C2" s="14">
        <v>0</v>
      </c>
      <c r="D2" s="14">
        <v>0</v>
      </c>
      <c r="E2" s="14">
        <v>0</v>
      </c>
      <c r="F2">
        <v>4639.2309999999998</v>
      </c>
      <c r="G2">
        <v>4166.1670000000004</v>
      </c>
      <c r="H2" s="14">
        <v>461381.33</v>
      </c>
      <c r="I2">
        <f>286387.41+H2</f>
        <v>747768.74</v>
      </c>
      <c r="J2">
        <f>1026570.94+I2</f>
        <v>1774339.68</v>
      </c>
      <c r="K2" s="5">
        <v>16121</v>
      </c>
      <c r="L2" s="14">
        <v>0</v>
      </c>
    </row>
    <row r="3" spans="1:34" ht="15.6" thickTop="1" thickBot="1" x14ac:dyDescent="0.35">
      <c r="A3" s="1">
        <v>2008</v>
      </c>
      <c r="B3" s="5">
        <v>2618</v>
      </c>
      <c r="C3" s="14">
        <v>0</v>
      </c>
      <c r="D3" s="14">
        <v>0</v>
      </c>
      <c r="E3" s="14">
        <v>0</v>
      </c>
      <c r="F3">
        <v>4025.6419999999998</v>
      </c>
      <c r="G3">
        <v>3780.5880000000002</v>
      </c>
      <c r="H3" s="14">
        <v>235432.77</v>
      </c>
      <c r="I3">
        <f>241788.62+H3</f>
        <v>477221.39</v>
      </c>
      <c r="J3">
        <f>730671+I3</f>
        <v>1207892.3900000001</v>
      </c>
      <c r="K3" s="5">
        <v>2618</v>
      </c>
      <c r="L3" s="14">
        <v>0</v>
      </c>
      <c r="AH3" t="s">
        <v>81</v>
      </c>
    </row>
    <row r="4" spans="1:34" ht="15.6" thickTop="1" thickBot="1" x14ac:dyDescent="0.35">
      <c r="A4" s="1">
        <v>2009</v>
      </c>
      <c r="B4" s="5">
        <v>535</v>
      </c>
      <c r="C4" s="14">
        <v>2</v>
      </c>
      <c r="D4" s="14">
        <v>0</v>
      </c>
      <c r="E4" s="14">
        <v>0</v>
      </c>
      <c r="F4">
        <v>3645.5590000000002</v>
      </c>
      <c r="G4">
        <v>4627.9340000000002</v>
      </c>
      <c r="H4" s="14">
        <v>323092.17</v>
      </c>
      <c r="I4">
        <f>337322.95+H4</f>
        <v>660415.12</v>
      </c>
      <c r="J4">
        <f>794089.08+I4</f>
        <v>1454504.2</v>
      </c>
      <c r="K4" s="5">
        <v>535</v>
      </c>
      <c r="L4" s="14">
        <v>2</v>
      </c>
    </row>
    <row r="5" spans="1:34" ht="15.6" thickTop="1" thickBot="1" x14ac:dyDescent="0.35">
      <c r="A5" s="1">
        <v>2010</v>
      </c>
      <c r="B5" s="5">
        <v>296</v>
      </c>
      <c r="C5" s="14">
        <v>15</v>
      </c>
      <c r="D5" s="14">
        <v>157</v>
      </c>
      <c r="E5" s="14">
        <v>109</v>
      </c>
      <c r="F5">
        <v>19832.16</v>
      </c>
      <c r="G5">
        <v>11216.552</v>
      </c>
      <c r="H5" s="14">
        <v>1751962.24</v>
      </c>
      <c r="I5">
        <f>314569.1+H5</f>
        <v>2066531.3399999999</v>
      </c>
      <c r="J5">
        <f>1210242.1+I5</f>
        <v>3276773.44</v>
      </c>
      <c r="K5" s="5">
        <v>296</v>
      </c>
      <c r="L5" s="14">
        <v>15</v>
      </c>
    </row>
    <row r="6" spans="1:34" ht="15.6" thickTop="1" thickBot="1" x14ac:dyDescent="0.35">
      <c r="A6" s="1">
        <v>2011</v>
      </c>
      <c r="B6" s="5">
        <v>1349</v>
      </c>
      <c r="C6" s="14">
        <v>4</v>
      </c>
      <c r="D6" s="14">
        <v>365</v>
      </c>
      <c r="E6" s="14">
        <v>145</v>
      </c>
      <c r="F6">
        <v>47554.455000000002</v>
      </c>
      <c r="G6">
        <v>16195.1</v>
      </c>
      <c r="H6" s="14">
        <v>2849126.47</v>
      </c>
      <c r="I6">
        <f>1894157.18+H6</f>
        <v>4743283.6500000004</v>
      </c>
      <c r="J6">
        <f>8316265.34+I6</f>
        <v>13059548.99</v>
      </c>
      <c r="K6" s="5">
        <v>1349</v>
      </c>
      <c r="L6" s="14">
        <v>4</v>
      </c>
    </row>
    <row r="7" spans="1:34" ht="15.6" thickTop="1" thickBot="1" x14ac:dyDescent="0.35">
      <c r="A7" s="1">
        <v>2012</v>
      </c>
      <c r="B7" s="5">
        <v>923</v>
      </c>
      <c r="C7" s="14">
        <v>0</v>
      </c>
      <c r="D7" s="14">
        <v>352</v>
      </c>
      <c r="E7" s="14">
        <v>120</v>
      </c>
      <c r="F7">
        <v>33798.828999999998</v>
      </c>
      <c r="G7">
        <v>13083.209000000001</v>
      </c>
      <c r="H7" s="14">
        <v>3645271.66</v>
      </c>
      <c r="I7">
        <f>2157119.32+H7</f>
        <v>5802390.9800000004</v>
      </c>
      <c r="J7">
        <f>2669263.76+I7</f>
        <v>8471654.7400000002</v>
      </c>
      <c r="K7" s="5">
        <v>923</v>
      </c>
      <c r="L7" s="14">
        <v>0</v>
      </c>
    </row>
    <row r="8" spans="1:34" ht="15.6" thickTop="1" thickBot="1" x14ac:dyDescent="0.35">
      <c r="A8" s="1">
        <v>2013</v>
      </c>
      <c r="B8" s="5">
        <v>138</v>
      </c>
      <c r="C8" s="14">
        <v>0</v>
      </c>
      <c r="D8" s="14">
        <v>67</v>
      </c>
      <c r="E8" s="14">
        <v>37</v>
      </c>
      <c r="F8">
        <v>11794.727000000001</v>
      </c>
      <c r="G8">
        <v>8801.723</v>
      </c>
      <c r="H8">
        <f>1532727.27</f>
        <v>1532727.27</v>
      </c>
      <c r="I8">
        <f>535832.01+H8</f>
        <v>2068559.28</v>
      </c>
      <c r="J8">
        <f>1483567.54+I8</f>
        <v>3552126.8200000003</v>
      </c>
      <c r="K8" s="5">
        <v>138</v>
      </c>
      <c r="L8" s="14">
        <v>0</v>
      </c>
    </row>
    <row r="9" spans="1:34" ht="15.6" thickTop="1" thickBot="1" x14ac:dyDescent="0.35">
      <c r="A9" s="1">
        <v>2014</v>
      </c>
      <c r="B9" s="5">
        <v>2308</v>
      </c>
      <c r="C9" s="14">
        <v>53</v>
      </c>
      <c r="D9" s="14">
        <v>29</v>
      </c>
      <c r="E9" s="14">
        <v>0</v>
      </c>
      <c r="F9">
        <v>8288.5849999999991</v>
      </c>
      <c r="G9">
        <v>7436.0619999999999</v>
      </c>
      <c r="H9" s="14">
        <v>1143999.6299999999</v>
      </c>
      <c r="I9">
        <f>529404.21+H9</f>
        <v>1673403.8399999999</v>
      </c>
      <c r="J9">
        <f>1710904.1+I9</f>
        <v>3384307.94</v>
      </c>
      <c r="K9" s="5">
        <v>2308</v>
      </c>
      <c r="L9" s="14">
        <v>53</v>
      </c>
    </row>
    <row r="10" spans="1:34" ht="15.6" thickTop="1" thickBot="1" x14ac:dyDescent="0.35">
      <c r="A10" s="1">
        <v>2015</v>
      </c>
      <c r="B10" s="5">
        <v>2802</v>
      </c>
      <c r="C10" s="14">
        <v>0</v>
      </c>
      <c r="D10" s="14">
        <v>9</v>
      </c>
      <c r="E10" s="14">
        <v>0</v>
      </c>
      <c r="F10">
        <v>7124.2610000000004</v>
      </c>
      <c r="G10">
        <v>7452.0150000000003</v>
      </c>
      <c r="H10" s="14">
        <v>1031825.15</v>
      </c>
      <c r="I10">
        <f>841729.04+H10</f>
        <v>1873554.19</v>
      </c>
      <c r="J10">
        <f>1636447.79+I10</f>
        <v>3510001.98</v>
      </c>
      <c r="K10" s="5">
        <v>2802</v>
      </c>
      <c r="L10" s="14">
        <v>0</v>
      </c>
    </row>
    <row r="11" spans="1:34" ht="15.6" thickTop="1" thickBot="1" x14ac:dyDescent="0.35">
      <c r="A11" s="1">
        <v>2016</v>
      </c>
      <c r="B11" s="5">
        <v>130</v>
      </c>
      <c r="C11" s="14">
        <v>0</v>
      </c>
      <c r="D11" s="14">
        <v>174</v>
      </c>
      <c r="E11" s="14">
        <v>104</v>
      </c>
      <c r="F11">
        <v>24883.796999999999</v>
      </c>
      <c r="G11">
        <v>12282.451999999999</v>
      </c>
      <c r="H11" s="14">
        <v>2986009.27</v>
      </c>
      <c r="I11">
        <f>800443.14+H11</f>
        <v>3786452.41</v>
      </c>
      <c r="J11">
        <f>1583628.39+I11</f>
        <v>5370080.7999999998</v>
      </c>
      <c r="K11" s="5">
        <v>130</v>
      </c>
      <c r="L11" s="14">
        <v>0</v>
      </c>
    </row>
    <row r="12" spans="1:34" ht="15.6" thickTop="1" thickBot="1" x14ac:dyDescent="0.35">
      <c r="A12" s="1">
        <v>2017</v>
      </c>
      <c r="B12" s="5">
        <v>2545</v>
      </c>
      <c r="C12" s="14">
        <v>9</v>
      </c>
      <c r="D12" s="14">
        <v>25</v>
      </c>
      <c r="E12" s="14">
        <v>6</v>
      </c>
      <c r="F12">
        <v>8624.5239999999994</v>
      </c>
      <c r="G12">
        <v>7391.4440000000004</v>
      </c>
      <c r="H12" s="14">
        <v>1042862.48</v>
      </c>
      <c r="I12">
        <f>665028.33+H12</f>
        <v>1707890.81</v>
      </c>
      <c r="J12">
        <f>5579214.56+I12</f>
        <v>7287105.3699999992</v>
      </c>
      <c r="K12" s="5">
        <v>2545</v>
      </c>
      <c r="L12" s="14">
        <v>9</v>
      </c>
    </row>
    <row r="13" spans="1:34" ht="15.6" thickTop="1" thickBot="1" x14ac:dyDescent="0.35">
      <c r="A13" s="1">
        <v>2018</v>
      </c>
      <c r="B13" s="5">
        <v>1908</v>
      </c>
      <c r="C13" s="14">
        <v>0</v>
      </c>
      <c r="D13" s="14">
        <v>0</v>
      </c>
      <c r="E13" s="14">
        <v>0</v>
      </c>
      <c r="F13">
        <v>5179.933</v>
      </c>
      <c r="G13">
        <v>7627.8180000000002</v>
      </c>
      <c r="H13" s="14">
        <v>736391.98</v>
      </c>
      <c r="I13">
        <f>698122.14+H13</f>
        <v>1434514.12</v>
      </c>
      <c r="J13">
        <f>1684174.14+I13</f>
        <v>3118688.26</v>
      </c>
      <c r="K13" s="5">
        <v>1908</v>
      </c>
      <c r="L13" s="14">
        <v>0</v>
      </c>
    </row>
    <row r="14" spans="1:34" ht="15.6" thickTop="1" thickBot="1" x14ac:dyDescent="0.35">
      <c r="A14" s="1">
        <v>2019</v>
      </c>
      <c r="B14" s="5">
        <v>1132</v>
      </c>
      <c r="C14" s="14">
        <v>0</v>
      </c>
      <c r="D14" s="14">
        <v>0</v>
      </c>
      <c r="E14" s="14">
        <v>0</v>
      </c>
      <c r="F14">
        <v>6573.1220000000003</v>
      </c>
      <c r="G14">
        <v>7636.433</v>
      </c>
      <c r="H14" s="14">
        <v>1105900.82</v>
      </c>
      <c r="I14">
        <f>647847.19+H14</f>
        <v>1753748.01</v>
      </c>
      <c r="J14">
        <f>1835676.07+I14</f>
        <v>3589424.08</v>
      </c>
      <c r="K14" s="5">
        <v>1132</v>
      </c>
      <c r="L14" s="14">
        <v>0</v>
      </c>
    </row>
    <row r="15" spans="1:34" ht="15.6" thickTop="1" thickBot="1" x14ac:dyDescent="0.35">
      <c r="A15" s="1">
        <v>2020</v>
      </c>
      <c r="B15" s="5">
        <v>627</v>
      </c>
      <c r="C15" s="14">
        <v>0</v>
      </c>
      <c r="D15" s="14">
        <v>0</v>
      </c>
      <c r="E15" s="14">
        <v>0</v>
      </c>
      <c r="F15">
        <v>1124.2819999999999</v>
      </c>
      <c r="G15">
        <v>8569.143</v>
      </c>
      <c r="H15" s="14">
        <v>978280.73</v>
      </c>
      <c r="I15">
        <f>952258.59+H15</f>
        <v>1930539.3199999998</v>
      </c>
      <c r="J15">
        <f>1527606.38+I15</f>
        <v>3458145.6999999997</v>
      </c>
      <c r="K15" s="5">
        <v>627</v>
      </c>
      <c r="L15" s="14">
        <v>0</v>
      </c>
    </row>
    <row r="16" spans="1:34" ht="15" thickTop="1" x14ac:dyDescent="0.3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6562-7965-4CAF-923D-A5FE6DA194F2}">
  <dimension ref="A1:J13"/>
  <sheetViews>
    <sheetView workbookViewId="0">
      <selection activeCell="J2" sqref="J2:J12"/>
    </sheetView>
  </sheetViews>
  <sheetFormatPr defaultRowHeight="14.4" x14ac:dyDescent="0.3"/>
  <sheetData>
    <row r="1" spans="1:10" ht="42" thickBot="1" x14ac:dyDescent="0.35">
      <c r="A1" s="18" t="s">
        <v>0</v>
      </c>
      <c r="B1" s="19" t="s">
        <v>6</v>
      </c>
      <c r="C1" s="20" t="s">
        <v>28</v>
      </c>
      <c r="D1" s="20" t="s">
        <v>35</v>
      </c>
      <c r="E1" s="21" t="s">
        <v>21</v>
      </c>
      <c r="F1" s="21" t="s">
        <v>38</v>
      </c>
      <c r="G1" s="20" t="s">
        <v>39</v>
      </c>
      <c r="H1" s="20" t="s">
        <v>40</v>
      </c>
      <c r="I1" s="19" t="s">
        <v>6</v>
      </c>
      <c r="J1" s="20" t="s">
        <v>28</v>
      </c>
    </row>
    <row r="2" spans="1:10" ht="15.6" thickTop="1" thickBot="1" x14ac:dyDescent="0.35">
      <c r="A2" s="18">
        <v>2010</v>
      </c>
      <c r="B2" s="26">
        <v>91742</v>
      </c>
      <c r="C2" s="27">
        <v>51411</v>
      </c>
      <c r="D2" s="27">
        <v>69</v>
      </c>
      <c r="E2" s="21">
        <v>4050.37</v>
      </c>
      <c r="F2" s="21">
        <v>292390.08199999999</v>
      </c>
      <c r="G2" s="21">
        <v>353332.24800000002</v>
      </c>
      <c r="H2" s="21">
        <v>548304.86499999999</v>
      </c>
      <c r="I2" s="26">
        <v>91742</v>
      </c>
      <c r="J2" s="27">
        <v>51411</v>
      </c>
    </row>
    <row r="3" spans="1:10" ht="15.6" thickTop="1" thickBot="1" x14ac:dyDescent="0.35">
      <c r="A3" s="18">
        <v>2011</v>
      </c>
      <c r="B3" s="26">
        <v>66430</v>
      </c>
      <c r="C3" s="27">
        <v>3468</v>
      </c>
      <c r="D3" s="27">
        <v>44</v>
      </c>
      <c r="E3" s="21">
        <v>5057.4219999999996</v>
      </c>
      <c r="F3" s="21">
        <v>513848.717</v>
      </c>
      <c r="G3" s="21">
        <v>878250.48800000001</v>
      </c>
      <c r="H3" s="21">
        <v>2721680.983</v>
      </c>
      <c r="I3" s="26">
        <v>66430</v>
      </c>
      <c r="J3" s="27">
        <v>3468</v>
      </c>
    </row>
    <row r="4" spans="1:10" ht="15.6" thickTop="1" thickBot="1" x14ac:dyDescent="0.35">
      <c r="A4" s="18">
        <v>2012</v>
      </c>
      <c r="B4" s="28"/>
      <c r="C4" s="29"/>
      <c r="D4" s="29">
        <v>95</v>
      </c>
      <c r="E4" s="21">
        <v>7607.7929999999997</v>
      </c>
      <c r="F4" s="21"/>
      <c r="G4" s="21"/>
      <c r="H4" s="21"/>
      <c r="I4" s="28"/>
      <c r="J4" s="29"/>
    </row>
    <row r="5" spans="1:10" ht="15.6" thickTop="1" thickBot="1" x14ac:dyDescent="0.35">
      <c r="A5" s="18">
        <v>2013</v>
      </c>
      <c r="B5" s="26">
        <v>14451</v>
      </c>
      <c r="C5" s="27">
        <v>0</v>
      </c>
      <c r="D5" s="27">
        <v>0</v>
      </c>
      <c r="E5" s="21">
        <v>1279.7339999999999</v>
      </c>
      <c r="F5" s="21">
        <v>170695.58</v>
      </c>
      <c r="G5" s="21">
        <v>242773.97899999999</v>
      </c>
      <c r="H5" s="21">
        <v>637272.38</v>
      </c>
      <c r="I5" s="26">
        <v>14451</v>
      </c>
      <c r="J5" s="27">
        <v>0</v>
      </c>
    </row>
    <row r="6" spans="1:10" ht="15.6" thickTop="1" thickBot="1" x14ac:dyDescent="0.35">
      <c r="A6" s="18">
        <v>2014</v>
      </c>
      <c r="B6" s="26">
        <v>5887</v>
      </c>
      <c r="C6" s="27">
        <v>1</v>
      </c>
      <c r="D6" s="27">
        <v>0</v>
      </c>
      <c r="E6" s="21">
        <v>1708.2090000000001</v>
      </c>
      <c r="F6" s="21">
        <v>212654.337</v>
      </c>
      <c r="G6" s="21">
        <v>293492.18300000002</v>
      </c>
      <c r="H6" s="21">
        <v>557572.63399999996</v>
      </c>
      <c r="I6" s="26">
        <v>5887</v>
      </c>
      <c r="J6" s="27">
        <v>1</v>
      </c>
    </row>
    <row r="7" spans="1:10" ht="15.6" thickTop="1" thickBot="1" x14ac:dyDescent="0.35">
      <c r="A7" s="18">
        <v>2015</v>
      </c>
      <c r="B7" s="26">
        <v>6974</v>
      </c>
      <c r="C7" s="27">
        <v>0</v>
      </c>
      <c r="D7" s="27">
        <v>0</v>
      </c>
      <c r="E7" s="21">
        <v>1840.356</v>
      </c>
      <c r="F7" s="21">
        <v>280509.62400000001</v>
      </c>
      <c r="G7" s="21">
        <v>355122.83199999999</v>
      </c>
      <c r="H7" s="21">
        <v>722675.84</v>
      </c>
      <c r="I7" s="26">
        <v>6974</v>
      </c>
      <c r="J7" s="27">
        <v>0</v>
      </c>
    </row>
    <row r="8" spans="1:10" ht="15.6" thickTop="1" thickBot="1" x14ac:dyDescent="0.35">
      <c r="A8" s="18">
        <v>2016</v>
      </c>
      <c r="B8" s="26">
        <v>25494</v>
      </c>
      <c r="C8" s="27">
        <v>10898</v>
      </c>
      <c r="D8" s="27">
        <v>123</v>
      </c>
      <c r="E8" s="21">
        <v>7494.87</v>
      </c>
      <c r="F8" s="21">
        <v>1309764.9410000001</v>
      </c>
      <c r="G8" s="21">
        <v>1607664.9010000001</v>
      </c>
      <c r="H8" s="21">
        <v>1950336.28</v>
      </c>
      <c r="I8" s="26">
        <v>25494</v>
      </c>
      <c r="J8" s="27">
        <v>10898</v>
      </c>
    </row>
    <row r="9" spans="1:10" ht="15.6" thickTop="1" thickBot="1" x14ac:dyDescent="0.35">
      <c r="A9" s="18">
        <v>2017</v>
      </c>
      <c r="B9" s="26">
        <v>7866</v>
      </c>
      <c r="C9" s="27">
        <v>10</v>
      </c>
      <c r="D9" s="27">
        <v>9</v>
      </c>
      <c r="E9" s="21">
        <v>2000.752</v>
      </c>
      <c r="F9" s="21">
        <v>276217.16800000001</v>
      </c>
      <c r="G9" s="21">
        <v>386526.49099999998</v>
      </c>
      <c r="H9" s="21">
        <v>1532489</v>
      </c>
      <c r="I9" s="26">
        <v>7866</v>
      </c>
      <c r="J9" s="27">
        <v>10</v>
      </c>
    </row>
    <row r="10" spans="1:10" ht="15.6" thickTop="1" thickBot="1" x14ac:dyDescent="0.35">
      <c r="A10" s="18">
        <v>2018</v>
      </c>
      <c r="B10" s="26">
        <v>3787</v>
      </c>
      <c r="C10" s="27">
        <v>0</v>
      </c>
      <c r="D10" s="27">
        <v>0</v>
      </c>
      <c r="E10" s="21">
        <v>1065.5709999999999</v>
      </c>
      <c r="F10" s="21">
        <v>178347.212</v>
      </c>
      <c r="G10" s="21">
        <v>229819.45800000001</v>
      </c>
      <c r="H10" s="21">
        <v>445448.33500000002</v>
      </c>
      <c r="I10" s="26">
        <v>3787</v>
      </c>
      <c r="J10" s="27">
        <v>0</v>
      </c>
    </row>
    <row r="11" spans="1:10" ht="15.6" thickTop="1" thickBot="1" x14ac:dyDescent="0.35">
      <c r="A11" s="18">
        <v>2019</v>
      </c>
      <c r="B11" s="26">
        <v>3467</v>
      </c>
      <c r="C11" s="27">
        <v>0</v>
      </c>
      <c r="D11" s="27">
        <v>0</v>
      </c>
      <c r="E11" s="21">
        <v>1146.451</v>
      </c>
      <c r="F11" s="21">
        <v>130470.995</v>
      </c>
      <c r="G11" s="21">
        <v>198983.41899999999</v>
      </c>
      <c r="H11" s="21">
        <v>388056.38900000002</v>
      </c>
      <c r="I11" s="26">
        <v>3467</v>
      </c>
      <c r="J11" s="27">
        <v>0</v>
      </c>
    </row>
    <row r="12" spans="1:10" ht="15.6" thickTop="1" thickBot="1" x14ac:dyDescent="0.35">
      <c r="A12" s="18">
        <v>2020</v>
      </c>
      <c r="B12" s="26">
        <v>63973</v>
      </c>
      <c r="C12" s="27">
        <v>21019</v>
      </c>
      <c r="D12" s="27">
        <v>0</v>
      </c>
      <c r="E12" s="21">
        <v>1815.2739999999999</v>
      </c>
      <c r="F12" s="21">
        <v>220629.62299999999</v>
      </c>
      <c r="G12" s="21">
        <v>330491.25099999999</v>
      </c>
      <c r="H12" s="21">
        <v>592252.98199999996</v>
      </c>
      <c r="I12" s="26">
        <v>63973</v>
      </c>
      <c r="J12" s="27">
        <v>21019</v>
      </c>
    </row>
    <row r="13" spans="1:10" ht="15" thickTop="1" x14ac:dyDescent="0.3"/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74FC-B498-4450-88BD-CA85C87FE7A3}">
  <dimension ref="A1:AA20"/>
  <sheetViews>
    <sheetView workbookViewId="0">
      <selection activeCell="C2" sqref="C2:C11"/>
    </sheetView>
  </sheetViews>
  <sheetFormatPr defaultRowHeight="14.4" x14ac:dyDescent="0.3"/>
  <cols>
    <col min="1" max="3" width="9" bestFit="1" customWidth="1"/>
    <col min="4" max="4" width="11.5546875" bestFit="1" customWidth="1"/>
    <col min="5" max="5" width="9" bestFit="1" customWidth="1"/>
    <col min="6" max="6" width="10.44140625" bestFit="1" customWidth="1"/>
    <col min="7" max="7" width="9.44140625" bestFit="1" customWidth="1"/>
    <col min="8" max="8" width="10.44140625" bestFit="1" customWidth="1"/>
    <col min="10" max="10" width="9" bestFit="1" customWidth="1"/>
  </cols>
  <sheetData>
    <row r="1" spans="1:10" ht="42" thickBot="1" x14ac:dyDescent="0.35">
      <c r="A1" s="18" t="s">
        <v>0</v>
      </c>
      <c r="B1" s="19" t="s">
        <v>7</v>
      </c>
      <c r="C1" s="20" t="s">
        <v>28</v>
      </c>
      <c r="D1" s="20" t="s">
        <v>36</v>
      </c>
      <c r="E1" s="21" t="s">
        <v>22</v>
      </c>
      <c r="F1" s="21" t="s">
        <v>38</v>
      </c>
      <c r="G1" s="20" t="s">
        <v>39</v>
      </c>
      <c r="H1" s="20" t="s">
        <v>40</v>
      </c>
      <c r="J1" s="19" t="s">
        <v>7</v>
      </c>
    </row>
    <row r="2" spans="1:10" ht="15.6" thickTop="1" thickBot="1" x14ac:dyDescent="0.35">
      <c r="A2" s="18">
        <v>2010</v>
      </c>
      <c r="B2" s="22">
        <v>73884</v>
      </c>
      <c r="C2" s="23">
        <v>0</v>
      </c>
      <c r="D2" s="23">
        <v>174</v>
      </c>
      <c r="E2" s="21">
        <v>869.56100000000004</v>
      </c>
      <c r="F2" s="23">
        <v>132281.28899999999</v>
      </c>
      <c r="G2" s="23">
        <v>135789.82</v>
      </c>
      <c r="H2" s="23">
        <v>177714.43700000001</v>
      </c>
      <c r="J2" s="22">
        <v>73884</v>
      </c>
    </row>
    <row r="3" spans="1:10" ht="15.6" thickTop="1" thickBot="1" x14ac:dyDescent="0.35">
      <c r="A3" s="18">
        <v>2011</v>
      </c>
      <c r="B3" s="22">
        <v>79660</v>
      </c>
      <c r="C3" s="23">
        <v>0</v>
      </c>
      <c r="D3" s="23">
        <v>137</v>
      </c>
      <c r="E3" s="21">
        <v>828.74400000000003</v>
      </c>
      <c r="F3" s="21">
        <v>72214.493000000002</v>
      </c>
      <c r="G3" s="21">
        <v>94414.827000000005</v>
      </c>
      <c r="H3" s="21">
        <v>390040.283</v>
      </c>
      <c r="J3" s="22">
        <v>79660</v>
      </c>
    </row>
    <row r="4" spans="1:10" ht="15.6" thickTop="1" thickBot="1" x14ac:dyDescent="0.35">
      <c r="A4" s="18">
        <v>2012</v>
      </c>
      <c r="B4" s="22">
        <v>82041</v>
      </c>
      <c r="C4" s="23">
        <v>0</v>
      </c>
      <c r="D4" s="23">
        <v>277.24043715846994</v>
      </c>
      <c r="E4" s="21">
        <v>1350.7829999999999</v>
      </c>
      <c r="F4" s="21">
        <v>128003.299</v>
      </c>
      <c r="G4" s="21">
        <v>234516.87899999999</v>
      </c>
      <c r="H4" s="21">
        <v>420012.89799999999</v>
      </c>
      <c r="J4" s="22">
        <v>82041</v>
      </c>
    </row>
    <row r="5" spans="1:10" ht="15.6" thickTop="1" thickBot="1" x14ac:dyDescent="0.35">
      <c r="A5" s="18">
        <v>2013</v>
      </c>
      <c r="B5" s="24"/>
      <c r="C5" s="25"/>
      <c r="D5" s="25">
        <v>30</v>
      </c>
      <c r="E5" s="21">
        <v>301.13</v>
      </c>
      <c r="F5" s="21"/>
      <c r="G5" s="21"/>
      <c r="H5" s="21"/>
      <c r="J5" s="24"/>
    </row>
    <row r="6" spans="1:10" ht="15.6" thickTop="1" thickBot="1" x14ac:dyDescent="0.35">
      <c r="A6" s="18">
        <v>2014</v>
      </c>
      <c r="B6" s="24"/>
      <c r="C6" s="25"/>
      <c r="D6" s="25">
        <v>0</v>
      </c>
      <c r="E6" s="21">
        <v>151.31800000000001</v>
      </c>
      <c r="F6" s="21"/>
      <c r="G6" s="21"/>
      <c r="H6" s="21"/>
      <c r="J6" s="24"/>
    </row>
    <row r="7" spans="1:10" ht="15.6" thickTop="1" thickBot="1" x14ac:dyDescent="0.35">
      <c r="A7" s="18">
        <v>2015</v>
      </c>
      <c r="B7" s="22">
        <v>11115</v>
      </c>
      <c r="C7" s="23">
        <v>0</v>
      </c>
      <c r="D7" s="23">
        <v>2</v>
      </c>
      <c r="E7" s="21">
        <v>151.54599999999999</v>
      </c>
      <c r="F7" s="21">
        <v>41832.421000000002</v>
      </c>
      <c r="G7" s="21">
        <v>44741.955000000002</v>
      </c>
      <c r="H7" s="21">
        <v>72641.423999999999</v>
      </c>
      <c r="J7" s="22">
        <v>11115</v>
      </c>
    </row>
    <row r="8" spans="1:10" ht="15.6" thickTop="1" thickBot="1" x14ac:dyDescent="0.35">
      <c r="A8" s="18">
        <v>2016</v>
      </c>
      <c r="B8" s="24"/>
      <c r="C8" s="25"/>
      <c r="D8" s="25">
        <v>192.47267759562843</v>
      </c>
      <c r="E8" s="21">
        <v>1033.6679999999999</v>
      </c>
      <c r="F8" s="21"/>
      <c r="G8" s="21"/>
      <c r="H8" s="21"/>
      <c r="J8" s="24"/>
    </row>
    <row r="9" spans="1:10" ht="15.6" thickTop="1" thickBot="1" x14ac:dyDescent="0.35">
      <c r="A9" s="18">
        <v>2017</v>
      </c>
      <c r="B9" s="24"/>
      <c r="C9" s="25"/>
      <c r="D9" s="25">
        <v>106</v>
      </c>
      <c r="E9" s="21">
        <v>575.34799999999996</v>
      </c>
      <c r="F9" s="21"/>
      <c r="G9" s="21"/>
      <c r="H9" s="21"/>
      <c r="J9" s="24"/>
    </row>
    <row r="10" spans="1:10" ht="15.6" thickTop="1" thickBot="1" x14ac:dyDescent="0.35">
      <c r="A10" s="18">
        <v>2018</v>
      </c>
      <c r="B10" s="24"/>
      <c r="C10" s="25"/>
      <c r="D10" s="25">
        <v>22</v>
      </c>
      <c r="E10" s="21">
        <v>252.38300000000001</v>
      </c>
      <c r="F10" s="21"/>
      <c r="G10" s="21"/>
      <c r="H10" s="21"/>
      <c r="J10" s="24"/>
    </row>
    <row r="11" spans="1:10" ht="15.6" thickTop="1" thickBot="1" x14ac:dyDescent="0.35">
      <c r="A11" s="18">
        <v>2019</v>
      </c>
      <c r="B11" s="22">
        <v>6</v>
      </c>
      <c r="C11" s="23">
        <v>0</v>
      </c>
      <c r="D11" s="23">
        <v>0</v>
      </c>
      <c r="E11" s="21">
        <v>18.986000000000001</v>
      </c>
      <c r="F11" s="21">
        <v>178.131</v>
      </c>
      <c r="G11" s="21">
        <v>1170.8499999999999</v>
      </c>
      <c r="H11" s="21">
        <v>37801.330999999998</v>
      </c>
      <c r="I11" t="s">
        <v>77</v>
      </c>
      <c r="J11" s="22">
        <v>6</v>
      </c>
    </row>
    <row r="12" spans="1:10" ht="15.6" thickTop="1" thickBot="1" x14ac:dyDescent="0.35">
      <c r="A12" s="18">
        <v>2020</v>
      </c>
      <c r="B12" s="24"/>
      <c r="C12" s="25"/>
      <c r="D12" s="25">
        <v>105.7103825136612</v>
      </c>
      <c r="E12" s="21">
        <v>574.30600000000004</v>
      </c>
      <c r="F12" s="21">
        <v>77790.455000000002</v>
      </c>
      <c r="G12" s="21">
        <v>109993.626</v>
      </c>
      <c r="H12" s="21">
        <v>152153</v>
      </c>
      <c r="I12" t="s">
        <v>69</v>
      </c>
      <c r="J12" s="24"/>
    </row>
    <row r="13" spans="1:10" ht="15" thickTop="1" x14ac:dyDescent="0.3"/>
    <row r="20" spans="27:27" x14ac:dyDescent="0.3">
      <c r="AA20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61BF-B019-4886-87D9-9BCD52232C5A}">
  <dimension ref="A1:K13"/>
  <sheetViews>
    <sheetView workbookViewId="0">
      <selection activeCell="F2" sqref="F2:H12"/>
    </sheetView>
  </sheetViews>
  <sheetFormatPr defaultRowHeight="14.4" x14ac:dyDescent="0.3"/>
  <cols>
    <col min="7" max="8" width="10.44140625" bestFit="1" customWidth="1"/>
  </cols>
  <sheetData>
    <row r="1" spans="1:11" ht="42" thickBot="1" x14ac:dyDescent="0.35">
      <c r="A1" s="18" t="s">
        <v>0</v>
      </c>
      <c r="B1" s="19" t="s">
        <v>8</v>
      </c>
      <c r="C1" s="20" t="s">
        <v>28</v>
      </c>
      <c r="D1" s="20" t="s">
        <v>37</v>
      </c>
      <c r="E1" s="21" t="s">
        <v>23</v>
      </c>
      <c r="F1" s="21" t="s">
        <v>38</v>
      </c>
      <c r="G1" s="17" t="s">
        <v>39</v>
      </c>
      <c r="H1" s="17" t="s">
        <v>40</v>
      </c>
      <c r="J1" s="19" t="s">
        <v>8</v>
      </c>
      <c r="K1" s="20" t="s">
        <v>28</v>
      </c>
    </row>
    <row r="2" spans="1:11" ht="15.6" thickTop="1" thickBot="1" x14ac:dyDescent="0.35">
      <c r="A2" s="18">
        <v>2010</v>
      </c>
      <c r="B2" s="22">
        <v>7681</v>
      </c>
      <c r="C2" s="23">
        <v>2076</v>
      </c>
      <c r="D2" s="23">
        <v>77</v>
      </c>
      <c r="E2" s="21">
        <v>4348.5860000000002</v>
      </c>
      <c r="F2" s="21">
        <v>19114.056</v>
      </c>
      <c r="G2" s="23">
        <v>22112.021000000001</v>
      </c>
      <c r="H2" s="23">
        <v>1426520</v>
      </c>
      <c r="J2" s="22">
        <v>7681</v>
      </c>
      <c r="K2" s="23">
        <v>2076</v>
      </c>
    </row>
    <row r="3" spans="1:11" ht="15.6" thickTop="1" thickBot="1" x14ac:dyDescent="0.35">
      <c r="A3" s="18">
        <v>2011</v>
      </c>
      <c r="B3" s="22">
        <v>32242</v>
      </c>
      <c r="C3" s="23">
        <v>534</v>
      </c>
      <c r="D3" s="23">
        <v>12</v>
      </c>
      <c r="E3" s="21">
        <v>568.02700000000004</v>
      </c>
      <c r="F3" s="21">
        <v>2.133</v>
      </c>
      <c r="G3" s="23">
        <v>815.71</v>
      </c>
      <c r="H3" s="23">
        <v>307375.77500000002</v>
      </c>
      <c r="I3" t="s">
        <v>76</v>
      </c>
      <c r="J3" s="22">
        <v>32242</v>
      </c>
      <c r="K3" s="23">
        <v>534</v>
      </c>
    </row>
    <row r="4" spans="1:11" ht="15.6" thickTop="1" thickBot="1" x14ac:dyDescent="0.35">
      <c r="A4" s="18">
        <v>2012</v>
      </c>
      <c r="B4" s="24"/>
      <c r="C4" s="25"/>
      <c r="D4" s="25">
        <v>46</v>
      </c>
      <c r="E4" s="21">
        <v>1784.7070000000001</v>
      </c>
      <c r="F4" s="21"/>
      <c r="J4" s="24"/>
      <c r="K4" s="25"/>
    </row>
    <row r="5" spans="1:11" ht="15.6" thickTop="1" thickBot="1" x14ac:dyDescent="0.35">
      <c r="A5" s="18">
        <v>2013</v>
      </c>
      <c r="B5" s="22">
        <v>84372</v>
      </c>
      <c r="C5" s="23">
        <v>0</v>
      </c>
      <c r="D5" s="23">
        <v>0</v>
      </c>
      <c r="E5" s="21">
        <v>21.161000000000001</v>
      </c>
      <c r="F5" s="21">
        <v>822.98900000000003</v>
      </c>
      <c r="G5" s="23">
        <v>2029.65</v>
      </c>
      <c r="H5" s="23">
        <v>7723.66</v>
      </c>
      <c r="I5" t="s">
        <v>75</v>
      </c>
      <c r="J5" s="22">
        <v>84372</v>
      </c>
      <c r="K5" s="23">
        <v>0</v>
      </c>
    </row>
    <row r="6" spans="1:11" ht="15.6" thickTop="1" thickBot="1" x14ac:dyDescent="0.35">
      <c r="A6" s="18">
        <v>2014</v>
      </c>
      <c r="B6" s="22">
        <v>2537</v>
      </c>
      <c r="C6" s="23">
        <v>0</v>
      </c>
      <c r="D6" s="23">
        <v>10</v>
      </c>
      <c r="E6" s="21">
        <v>277.31599999999997</v>
      </c>
      <c r="F6" s="21">
        <v>12129.365</v>
      </c>
      <c r="G6" s="23">
        <v>13230.72</v>
      </c>
      <c r="H6" s="23">
        <v>100019.171</v>
      </c>
      <c r="I6" t="s">
        <v>73</v>
      </c>
      <c r="J6" s="22">
        <v>2537</v>
      </c>
      <c r="K6" s="23">
        <v>0</v>
      </c>
    </row>
    <row r="7" spans="1:11" ht="15.6" thickTop="1" thickBot="1" x14ac:dyDescent="0.35">
      <c r="A7" s="18">
        <v>2015</v>
      </c>
      <c r="B7" s="22">
        <v>937</v>
      </c>
      <c r="C7" s="23">
        <v>0</v>
      </c>
      <c r="D7" s="23">
        <v>0</v>
      </c>
      <c r="E7" s="21">
        <v>173.84100000000001</v>
      </c>
      <c r="F7" s="21">
        <v>797.79899999999998</v>
      </c>
      <c r="G7" s="23">
        <v>21988.998</v>
      </c>
      <c r="H7" s="23">
        <v>64127.370999999999</v>
      </c>
      <c r="I7" t="s">
        <v>72</v>
      </c>
      <c r="J7" s="22">
        <v>937</v>
      </c>
      <c r="K7" s="23">
        <v>0</v>
      </c>
    </row>
    <row r="8" spans="1:11" ht="15.6" thickTop="1" thickBot="1" x14ac:dyDescent="0.35">
      <c r="A8" s="18">
        <v>2016</v>
      </c>
      <c r="B8" s="22">
        <v>868</v>
      </c>
      <c r="C8" s="23">
        <v>35</v>
      </c>
      <c r="D8" s="23">
        <v>8</v>
      </c>
      <c r="E8" s="21">
        <v>461.36799999999999</v>
      </c>
      <c r="F8" s="21">
        <v>73440.990000000005</v>
      </c>
      <c r="G8" s="23">
        <v>103014.65</v>
      </c>
      <c r="H8" s="23">
        <v>153528.89000000001</v>
      </c>
      <c r="I8" t="s">
        <v>69</v>
      </c>
      <c r="J8" s="22">
        <v>868</v>
      </c>
      <c r="K8" s="23">
        <v>35</v>
      </c>
    </row>
    <row r="9" spans="1:11" ht="15.6" thickTop="1" thickBot="1" x14ac:dyDescent="0.35">
      <c r="A9" s="18">
        <v>2017</v>
      </c>
      <c r="B9" s="22">
        <v>3821</v>
      </c>
      <c r="C9" s="23">
        <v>0</v>
      </c>
      <c r="D9" s="23">
        <v>0</v>
      </c>
      <c r="E9" s="21">
        <v>66.183000000000007</v>
      </c>
      <c r="F9" s="21"/>
      <c r="G9" s="23">
        <v>242</v>
      </c>
      <c r="H9" s="23">
        <v>35589.089999999997</v>
      </c>
      <c r="I9" t="s">
        <v>71</v>
      </c>
      <c r="J9" s="22">
        <v>3821</v>
      </c>
      <c r="K9" s="23">
        <v>0</v>
      </c>
    </row>
    <row r="10" spans="1:11" ht="15.6" thickTop="1" thickBot="1" x14ac:dyDescent="0.35">
      <c r="A10" s="18">
        <v>2018</v>
      </c>
      <c r="B10" s="24"/>
      <c r="C10" s="25"/>
      <c r="D10" s="25">
        <v>0</v>
      </c>
      <c r="E10" s="21">
        <v>25.864999999999998</v>
      </c>
      <c r="F10" s="21"/>
      <c r="J10" s="24"/>
      <c r="K10" s="25"/>
    </row>
    <row r="11" spans="1:11" ht="15.6" thickTop="1" thickBot="1" x14ac:dyDescent="0.35">
      <c r="A11" s="18">
        <v>2019</v>
      </c>
      <c r="B11" s="22">
        <v>2159</v>
      </c>
      <c r="C11" s="23">
        <v>0</v>
      </c>
      <c r="D11" s="23">
        <v>8</v>
      </c>
      <c r="E11" s="21">
        <v>305.96300000000002</v>
      </c>
      <c r="F11" s="21"/>
      <c r="G11" s="23">
        <v>107990.717</v>
      </c>
      <c r="H11" s="23">
        <v>111225.1</v>
      </c>
      <c r="I11" t="s">
        <v>70</v>
      </c>
      <c r="J11" s="22">
        <v>2159</v>
      </c>
      <c r="K11" s="23">
        <v>0</v>
      </c>
    </row>
    <row r="12" spans="1:11" ht="15.6" thickTop="1" thickBot="1" x14ac:dyDescent="0.35">
      <c r="A12" s="18">
        <v>2020</v>
      </c>
      <c r="B12" s="22">
        <v>8024</v>
      </c>
      <c r="C12" s="23">
        <v>20</v>
      </c>
      <c r="D12" s="23">
        <v>20</v>
      </c>
      <c r="E12" s="21">
        <v>1163.894</v>
      </c>
      <c r="F12" s="21">
        <v>4708.43</v>
      </c>
      <c r="G12" s="23">
        <v>10315.540000000001</v>
      </c>
      <c r="H12" s="23">
        <v>426413.65</v>
      </c>
      <c r="I12" t="s">
        <v>69</v>
      </c>
      <c r="J12" s="22">
        <v>8024</v>
      </c>
      <c r="K12" s="23">
        <v>20</v>
      </c>
    </row>
    <row r="13" spans="1:11" ht="15" thickTop="1" x14ac:dyDescent="0.3"/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43D7-1EB8-4B63-A23C-1C5F40935BA0}">
  <dimension ref="A1:J16"/>
  <sheetViews>
    <sheetView workbookViewId="0">
      <selection activeCell="J3" sqref="J3:J15"/>
    </sheetView>
  </sheetViews>
  <sheetFormatPr defaultRowHeight="14.4" x14ac:dyDescent="0.3"/>
  <sheetData>
    <row r="1" spans="1:10" ht="24.6" thickBot="1" x14ac:dyDescent="0.35">
      <c r="A1" s="1" t="s">
        <v>0</v>
      </c>
      <c r="B1" s="2" t="s">
        <v>9</v>
      </c>
      <c r="C1" s="13" t="s">
        <v>28</v>
      </c>
      <c r="D1" s="13" t="s">
        <v>30</v>
      </c>
      <c r="E1" t="s">
        <v>12</v>
      </c>
      <c r="F1" t="s">
        <v>38</v>
      </c>
      <c r="G1" s="17" t="s">
        <v>39</v>
      </c>
      <c r="H1" s="17" t="s">
        <v>40</v>
      </c>
      <c r="I1" s="2" t="s">
        <v>9</v>
      </c>
      <c r="J1" s="13" t="s">
        <v>28</v>
      </c>
    </row>
    <row r="2" spans="1:10" ht="24" thickTop="1" thickBot="1" x14ac:dyDescent="0.35">
      <c r="A2" s="1">
        <v>2007</v>
      </c>
      <c r="B2" s="6"/>
      <c r="C2" s="16"/>
      <c r="D2" s="14">
        <v>0</v>
      </c>
      <c r="E2">
        <v>2819.1602577499129</v>
      </c>
      <c r="I2" s="6"/>
      <c r="J2" s="16"/>
    </row>
    <row r="3" spans="1:10" ht="15.6" thickTop="1" thickBot="1" x14ac:dyDescent="0.35">
      <c r="A3" s="1">
        <v>2008</v>
      </c>
      <c r="B3" s="5">
        <v>2566</v>
      </c>
      <c r="C3" s="14">
        <v>0</v>
      </c>
      <c r="D3" s="14">
        <v>0</v>
      </c>
      <c r="E3">
        <v>3021.3578680897649</v>
      </c>
      <c r="F3" s="14">
        <v>210769</v>
      </c>
      <c r="G3" s="14">
        <v>375924</v>
      </c>
      <c r="H3" s="14">
        <v>1038675</v>
      </c>
      <c r="I3" s="5">
        <v>2566</v>
      </c>
      <c r="J3" s="14">
        <v>0</v>
      </c>
    </row>
    <row r="4" spans="1:10" ht="15.6" thickTop="1" thickBot="1" x14ac:dyDescent="0.35">
      <c r="A4" s="1">
        <v>2009</v>
      </c>
      <c r="B4" s="5">
        <v>13848</v>
      </c>
      <c r="C4" s="14">
        <v>26</v>
      </c>
      <c r="D4" s="14">
        <v>0</v>
      </c>
      <c r="E4">
        <v>3213.6281800766287</v>
      </c>
      <c r="F4" s="14">
        <v>187307</v>
      </c>
      <c r="G4" s="14">
        <v>374082</v>
      </c>
      <c r="H4" s="14">
        <v>1149604</v>
      </c>
      <c r="I4" s="5">
        <v>13848</v>
      </c>
      <c r="J4" s="14">
        <v>26</v>
      </c>
    </row>
    <row r="5" spans="1:10" ht="15.6" thickTop="1" thickBot="1" x14ac:dyDescent="0.35">
      <c r="A5" s="1">
        <v>2010</v>
      </c>
      <c r="B5" s="5">
        <v>2324</v>
      </c>
      <c r="C5" s="14">
        <v>54</v>
      </c>
      <c r="D5" s="14">
        <v>32</v>
      </c>
      <c r="E5">
        <v>16677.079514687099</v>
      </c>
      <c r="F5" s="14">
        <v>1199541</v>
      </c>
      <c r="G5" s="14">
        <v>1670796</v>
      </c>
      <c r="H5" s="14">
        <v>2822085</v>
      </c>
      <c r="I5" s="5">
        <v>2324</v>
      </c>
      <c r="J5" s="14">
        <v>54</v>
      </c>
    </row>
    <row r="6" spans="1:10" ht="15.6" thickTop="1" thickBot="1" x14ac:dyDescent="0.35">
      <c r="A6" s="1">
        <v>2011</v>
      </c>
      <c r="B6" s="5">
        <v>3954</v>
      </c>
      <c r="C6" s="14">
        <v>0</v>
      </c>
      <c r="D6" s="14">
        <v>109</v>
      </c>
      <c r="E6">
        <v>39678.263122605371</v>
      </c>
      <c r="F6" s="14">
        <v>2794337</v>
      </c>
      <c r="G6" s="14">
        <v>5490841</v>
      </c>
      <c r="H6" s="14">
        <v>16983482</v>
      </c>
      <c r="I6" s="5">
        <v>3954</v>
      </c>
      <c r="J6" s="14">
        <v>0</v>
      </c>
    </row>
    <row r="7" spans="1:10" ht="24" thickTop="1" thickBot="1" x14ac:dyDescent="0.35">
      <c r="A7" s="1">
        <v>2012</v>
      </c>
      <c r="B7" s="6"/>
      <c r="C7" s="16"/>
      <c r="D7" s="14">
        <v>41</v>
      </c>
      <c r="E7">
        <v>32015.053178708262</v>
      </c>
      <c r="I7" s="6"/>
      <c r="J7" s="16"/>
    </row>
    <row r="8" spans="1:10" ht="24" thickTop="1" thickBot="1" x14ac:dyDescent="0.35">
      <c r="A8" s="1">
        <v>2013</v>
      </c>
      <c r="B8" s="6"/>
      <c r="C8" s="16"/>
      <c r="D8" s="14">
        <v>0</v>
      </c>
      <c r="E8">
        <v>10514.634578544061</v>
      </c>
      <c r="I8" s="6"/>
      <c r="J8" s="16"/>
    </row>
    <row r="9" spans="1:10" ht="24" thickTop="1" thickBot="1" x14ac:dyDescent="0.35">
      <c r="A9" s="1">
        <v>2014</v>
      </c>
      <c r="B9" s="6"/>
      <c r="C9" s="16"/>
      <c r="D9" s="14">
        <v>0</v>
      </c>
      <c r="E9">
        <v>7492.3128033205612</v>
      </c>
      <c r="I9" s="6"/>
      <c r="J9" s="16"/>
    </row>
    <row r="10" spans="1:10" ht="15.6" thickTop="1" thickBot="1" x14ac:dyDescent="0.35">
      <c r="A10" s="1">
        <v>2015</v>
      </c>
      <c r="B10" s="5">
        <v>171</v>
      </c>
      <c r="C10" s="14">
        <v>0</v>
      </c>
      <c r="D10" s="14">
        <v>0</v>
      </c>
      <c r="E10">
        <v>7306.0630161770969</v>
      </c>
      <c r="F10" s="14">
        <v>740081</v>
      </c>
      <c r="G10" s="14">
        <v>1201491</v>
      </c>
      <c r="H10" s="14">
        <v>2780255</v>
      </c>
      <c r="I10" s="5">
        <v>171</v>
      </c>
      <c r="J10" s="14">
        <v>0</v>
      </c>
    </row>
    <row r="11" spans="1:10" ht="15.6" thickTop="1" thickBot="1" x14ac:dyDescent="0.35">
      <c r="A11" s="1">
        <v>2016</v>
      </c>
      <c r="B11" s="5">
        <v>291</v>
      </c>
      <c r="C11" s="14">
        <v>121</v>
      </c>
      <c r="D11" s="14">
        <v>42</v>
      </c>
      <c r="E11">
        <v>23787.066085112208</v>
      </c>
      <c r="F11" s="14">
        <v>2746937</v>
      </c>
      <c r="G11" s="14">
        <v>3084957</v>
      </c>
      <c r="H11" s="14">
        <v>4458134</v>
      </c>
      <c r="I11" s="5">
        <v>291</v>
      </c>
      <c r="J11" s="14">
        <v>121</v>
      </c>
    </row>
    <row r="12" spans="1:10" ht="15.6" thickTop="1" thickBot="1" x14ac:dyDescent="0.35">
      <c r="A12" s="1">
        <v>2017</v>
      </c>
      <c r="B12" s="5">
        <v>1046</v>
      </c>
      <c r="C12" s="14">
        <v>90</v>
      </c>
      <c r="D12" s="14">
        <v>0</v>
      </c>
      <c r="E12">
        <v>8720.5904108131126</v>
      </c>
      <c r="F12" s="14">
        <v>680773</v>
      </c>
      <c r="G12" s="14">
        <v>1237677</v>
      </c>
      <c r="H12" s="14">
        <v>7179771</v>
      </c>
      <c r="I12" s="5">
        <v>1046</v>
      </c>
      <c r="J12" s="14">
        <v>90</v>
      </c>
    </row>
    <row r="13" spans="1:10" ht="15.6" thickTop="1" thickBot="1" x14ac:dyDescent="0.35">
      <c r="A13" s="1">
        <v>2018</v>
      </c>
      <c r="B13" s="5">
        <v>765</v>
      </c>
      <c r="C13" s="14">
        <v>57</v>
      </c>
      <c r="D13" s="14">
        <v>0</v>
      </c>
      <c r="E13">
        <v>6437.8788207747975</v>
      </c>
      <c r="F13" s="14">
        <v>577273</v>
      </c>
      <c r="G13" s="14">
        <v>987643</v>
      </c>
      <c r="H13" s="14">
        <v>2583054</v>
      </c>
      <c r="I13" s="5">
        <v>765</v>
      </c>
      <c r="J13" s="14">
        <v>57</v>
      </c>
    </row>
    <row r="14" spans="1:10" ht="15.6" thickTop="1" thickBot="1" x14ac:dyDescent="0.35">
      <c r="A14" s="1">
        <v>2019</v>
      </c>
      <c r="B14" s="5">
        <v>822</v>
      </c>
      <c r="C14" s="14">
        <v>1</v>
      </c>
      <c r="D14" s="14">
        <v>0</v>
      </c>
      <c r="E14">
        <v>7013.3574393358876</v>
      </c>
      <c r="F14" s="14">
        <v>378391</v>
      </c>
      <c r="G14" s="14">
        <v>749081</v>
      </c>
      <c r="H14" s="14">
        <v>2211894</v>
      </c>
      <c r="I14" s="5">
        <v>822</v>
      </c>
      <c r="J14" s="14">
        <v>1</v>
      </c>
    </row>
    <row r="15" spans="1:10" ht="15.6" thickTop="1" thickBot="1" x14ac:dyDescent="0.35">
      <c r="A15" s="1">
        <v>2020</v>
      </c>
      <c r="B15" s="5">
        <v>170</v>
      </c>
      <c r="C15" s="14">
        <v>328</v>
      </c>
      <c r="D15" s="14">
        <v>0</v>
      </c>
      <c r="E15">
        <v>8074.0108784893273</v>
      </c>
      <c r="F15" s="14">
        <v>889090</v>
      </c>
      <c r="G15" s="14">
        <v>1326324</v>
      </c>
      <c r="H15" s="14">
        <v>2984212</v>
      </c>
      <c r="I15" s="5">
        <v>170</v>
      </c>
      <c r="J15" s="14">
        <v>328</v>
      </c>
    </row>
    <row r="16" spans="1:10" ht="15" thickTop="1" x14ac:dyDescent="0.3"/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642E-A7AA-4CA1-ABE8-2E0965A4A2B7}">
  <dimension ref="A1:N13"/>
  <sheetViews>
    <sheetView workbookViewId="0">
      <selection activeCell="C2" sqref="C2:C12"/>
    </sheetView>
  </sheetViews>
  <sheetFormatPr defaultRowHeight="14.4" x14ac:dyDescent="0.3"/>
  <cols>
    <col min="1" max="3" width="9.109375" bestFit="1" customWidth="1"/>
    <col min="4" max="4" width="11.5546875" bestFit="1" customWidth="1"/>
    <col min="5" max="5" width="9.109375" bestFit="1" customWidth="1"/>
    <col min="6" max="6" width="12" bestFit="1" customWidth="1"/>
    <col min="7" max="7" width="9.44140625" bestFit="1" customWidth="1"/>
    <col min="8" max="8" width="10.44140625" bestFit="1" customWidth="1"/>
    <col min="11" max="12" width="9.44140625" bestFit="1" customWidth="1"/>
    <col min="14" max="14" width="9.109375" bestFit="1" customWidth="1"/>
  </cols>
  <sheetData>
    <row r="1" spans="1:14" ht="28.2" thickBot="1" x14ac:dyDescent="0.35">
      <c r="A1" s="18" t="s">
        <v>0</v>
      </c>
      <c r="B1" s="19" t="s">
        <v>10</v>
      </c>
      <c r="C1" s="20" t="s">
        <v>28</v>
      </c>
      <c r="D1" s="20" t="s">
        <v>30</v>
      </c>
      <c r="E1" s="21" t="s">
        <v>24</v>
      </c>
      <c r="F1" s="21" t="s">
        <v>38</v>
      </c>
      <c r="G1" s="20" t="s">
        <v>39</v>
      </c>
      <c r="H1" s="20" t="s">
        <v>40</v>
      </c>
      <c r="I1" s="17" t="s">
        <v>54</v>
      </c>
      <c r="J1" s="21" t="s">
        <v>62</v>
      </c>
      <c r="K1" s="20" t="s">
        <v>63</v>
      </c>
      <c r="L1" s="20" t="s">
        <v>64</v>
      </c>
      <c r="M1" s="17" t="s">
        <v>54</v>
      </c>
      <c r="N1" s="19" t="s">
        <v>10</v>
      </c>
    </row>
    <row r="2" spans="1:14" ht="15.6" thickTop="1" thickBot="1" x14ac:dyDescent="0.35">
      <c r="A2" s="18">
        <v>2010</v>
      </c>
      <c r="B2" s="22">
        <v>83008</v>
      </c>
      <c r="C2" s="23">
        <v>0</v>
      </c>
      <c r="D2" s="23">
        <v>74</v>
      </c>
      <c r="E2" s="21">
        <v>2837.4749999999999</v>
      </c>
      <c r="F2" s="21">
        <v>2426.86</v>
      </c>
      <c r="G2" s="21">
        <v>6633.46</v>
      </c>
      <c r="H2" s="21">
        <v>2152277.48</v>
      </c>
      <c r="I2" t="s">
        <v>61</v>
      </c>
      <c r="J2" s="21">
        <v>22895.58</v>
      </c>
      <c r="K2" s="21">
        <v>23885.84</v>
      </c>
      <c r="L2" s="21">
        <v>808051.98</v>
      </c>
      <c r="M2" t="s">
        <v>68</v>
      </c>
      <c r="N2" s="22">
        <v>83008</v>
      </c>
    </row>
    <row r="3" spans="1:14" ht="15.6" thickTop="1" thickBot="1" x14ac:dyDescent="0.35">
      <c r="A3" s="18">
        <v>2011</v>
      </c>
      <c r="B3" s="24"/>
      <c r="C3" s="25"/>
      <c r="D3" s="25">
        <v>25</v>
      </c>
      <c r="E3" s="21">
        <v>688.51499999999999</v>
      </c>
      <c r="F3" s="21"/>
      <c r="G3" s="21"/>
      <c r="H3" s="21"/>
      <c r="N3" s="24"/>
    </row>
    <row r="4" spans="1:14" ht="15.6" thickTop="1" thickBot="1" x14ac:dyDescent="0.35">
      <c r="A4" s="18">
        <v>2012</v>
      </c>
      <c r="B4" s="24"/>
      <c r="C4" s="25"/>
      <c r="D4" s="25">
        <v>18.948087431693988</v>
      </c>
      <c r="E4" s="21">
        <v>1579.527</v>
      </c>
      <c r="F4" s="21"/>
      <c r="G4" s="21"/>
      <c r="H4" s="21"/>
      <c r="N4" s="24"/>
    </row>
    <row r="5" spans="1:14" ht="15.6" thickTop="1" thickBot="1" x14ac:dyDescent="0.35">
      <c r="A5" s="18">
        <v>2013</v>
      </c>
      <c r="B5" s="24"/>
      <c r="C5" s="25"/>
      <c r="D5" s="25">
        <v>0</v>
      </c>
      <c r="E5" s="21">
        <v>0</v>
      </c>
      <c r="F5" s="21"/>
      <c r="G5" s="21"/>
      <c r="H5" s="21"/>
      <c r="N5" s="24"/>
    </row>
    <row r="6" spans="1:14" ht="15.6" thickTop="1" thickBot="1" x14ac:dyDescent="0.35">
      <c r="A6" s="18">
        <v>2014</v>
      </c>
      <c r="B6" s="24"/>
      <c r="C6" s="25"/>
      <c r="D6" s="25">
        <v>0</v>
      </c>
      <c r="E6" s="21">
        <v>6.7519999999999998</v>
      </c>
      <c r="F6" s="21">
        <v>4783.6499999999996</v>
      </c>
      <c r="G6" s="21">
        <v>5064.93</v>
      </c>
      <c r="H6" s="21">
        <v>12880.09</v>
      </c>
      <c r="I6" t="s">
        <v>60</v>
      </c>
      <c r="N6" s="24"/>
    </row>
    <row r="7" spans="1:14" ht="15.6" thickTop="1" thickBot="1" x14ac:dyDescent="0.35">
      <c r="A7" s="18">
        <v>2015</v>
      </c>
      <c r="B7" s="24"/>
      <c r="C7" s="25"/>
      <c r="D7" s="25">
        <v>4</v>
      </c>
      <c r="E7" s="21">
        <v>50.225000000000001</v>
      </c>
      <c r="F7" s="25">
        <v>292.95</v>
      </c>
      <c r="G7" s="21">
        <v>2779.08</v>
      </c>
      <c r="H7" s="21">
        <v>130842.14</v>
      </c>
      <c r="I7" t="s">
        <v>59</v>
      </c>
      <c r="N7" s="24"/>
    </row>
    <row r="8" spans="1:14" ht="15.6" thickTop="1" thickBot="1" x14ac:dyDescent="0.35">
      <c r="A8" s="18">
        <v>2016</v>
      </c>
      <c r="B8" s="22">
        <v>1900</v>
      </c>
      <c r="C8" s="23">
        <v>0</v>
      </c>
      <c r="D8" s="23">
        <v>17.950819672131146</v>
      </c>
      <c r="E8" s="21">
        <v>347.94200000000001</v>
      </c>
      <c r="F8" s="23">
        <v>372752.71</v>
      </c>
      <c r="G8" s="23">
        <v>449082.05</v>
      </c>
      <c r="H8" s="23">
        <v>525285.65</v>
      </c>
      <c r="I8" t="s">
        <v>57</v>
      </c>
      <c r="J8" s="23">
        <v>101490.9</v>
      </c>
      <c r="K8" s="23">
        <v>117870.87</v>
      </c>
      <c r="L8" s="23">
        <v>126548.42</v>
      </c>
      <c r="M8" t="s">
        <v>67</v>
      </c>
      <c r="N8" s="22">
        <v>1900</v>
      </c>
    </row>
    <row r="9" spans="1:14" ht="15.6" thickTop="1" thickBot="1" x14ac:dyDescent="0.35">
      <c r="A9" s="18">
        <v>2017</v>
      </c>
      <c r="B9" s="24"/>
      <c r="C9" s="25"/>
      <c r="D9" s="25">
        <v>0</v>
      </c>
      <c r="E9" s="21">
        <v>1.349</v>
      </c>
      <c r="F9" s="21"/>
      <c r="G9" s="21"/>
      <c r="H9" s="21">
        <v>9718.51</v>
      </c>
      <c r="I9" t="s">
        <v>56</v>
      </c>
      <c r="N9" s="24"/>
    </row>
    <row r="10" spans="1:14" ht="15.6" thickTop="1" thickBot="1" x14ac:dyDescent="0.35">
      <c r="A10" s="18">
        <v>2018</v>
      </c>
      <c r="B10" s="24"/>
      <c r="C10" s="25"/>
      <c r="D10" s="25">
        <v>5</v>
      </c>
      <c r="E10" s="21">
        <v>29.783999999999999</v>
      </c>
      <c r="F10" s="21"/>
      <c r="G10" s="21">
        <v>3081.6</v>
      </c>
      <c r="H10" s="21">
        <v>91511.6</v>
      </c>
      <c r="I10" t="s">
        <v>55</v>
      </c>
      <c r="N10" s="24"/>
    </row>
    <row r="11" spans="1:14" ht="15.6" thickTop="1" thickBot="1" x14ac:dyDescent="0.35">
      <c r="A11" s="18">
        <v>2019</v>
      </c>
      <c r="B11" s="22">
        <v>2</v>
      </c>
      <c r="C11" s="23">
        <v>0</v>
      </c>
      <c r="D11" s="23">
        <v>7</v>
      </c>
      <c r="E11" s="21">
        <v>285.267</v>
      </c>
      <c r="F11" s="23">
        <v>69</v>
      </c>
      <c r="G11" s="23">
        <v>25504.68</v>
      </c>
      <c r="H11" s="23">
        <v>420966.23</v>
      </c>
      <c r="I11" t="s">
        <v>53</v>
      </c>
      <c r="K11" s="23">
        <v>30898.77</v>
      </c>
      <c r="L11" s="23">
        <v>104122.42</v>
      </c>
      <c r="M11" t="s">
        <v>66</v>
      </c>
      <c r="N11" s="22">
        <v>2</v>
      </c>
    </row>
    <row r="12" spans="1:14" ht="15.6" thickTop="1" thickBot="1" x14ac:dyDescent="0.35">
      <c r="A12" s="18">
        <v>2020</v>
      </c>
      <c r="B12" s="22">
        <v>7839</v>
      </c>
      <c r="C12" s="23">
        <v>1</v>
      </c>
      <c r="D12" s="23">
        <v>21.939890710382514</v>
      </c>
      <c r="E12" s="21">
        <v>1152.0250000000001</v>
      </c>
      <c r="F12" s="23">
        <v>89.7</v>
      </c>
      <c r="G12" s="23">
        <v>1301.3699999999999</v>
      </c>
      <c r="H12" s="23">
        <v>1290927.78</v>
      </c>
      <c r="I12" t="s">
        <v>58</v>
      </c>
      <c r="J12" s="21">
        <v>282.81</v>
      </c>
      <c r="K12" s="21">
        <v>1571.61</v>
      </c>
      <c r="L12" s="21">
        <v>422907.9</v>
      </c>
      <c r="M12" t="s">
        <v>65</v>
      </c>
      <c r="N12" s="22">
        <v>7839</v>
      </c>
    </row>
    <row r="13" spans="1:14" ht="15" thickTop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transpose</vt:lpstr>
      <vt:lpstr>old_long_alldata</vt:lpstr>
      <vt:lpstr>old_breed_transpose</vt:lpstr>
      <vt:lpstr>booligal</vt:lpstr>
      <vt:lpstr>chowilla</vt:lpstr>
      <vt:lpstr>cumbung</vt:lpstr>
      <vt:lpstr>gwydir</vt:lpstr>
      <vt:lpstr>hattah</vt:lpstr>
      <vt:lpstr>lowbidgee</vt:lpstr>
      <vt:lpstr>macquariemarshes</vt:lpstr>
      <vt:lpstr>paroo</vt:lpstr>
      <vt:lpstr>renmark</vt:lpstr>
      <vt:lpstr>yantabulla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Lanceman</dc:creator>
  <cp:lastModifiedBy>Dana Lanceman</cp:lastModifiedBy>
  <dcterms:created xsi:type="dcterms:W3CDTF">2021-07-26T05:56:12Z</dcterms:created>
  <dcterms:modified xsi:type="dcterms:W3CDTF">2021-10-01T00:23:24Z</dcterms:modified>
</cp:coreProperties>
</file>