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204897_ad_unsw_edu_au1/Documents/Desktop/Honours_UNSW/Assessment/cumbung_assessment/raw/"/>
    </mc:Choice>
  </mc:AlternateContent>
  <xr:revisionPtr revIDLastSave="493" documentId="8_{B16CB74F-7F5A-422F-8531-F10FC2AE30B5}" xr6:coauthVersionLast="47" xr6:coauthVersionMax="47" xr10:uidLastSave="{73CF5C12-7E14-4C04-BAD8-5F7F46D0D93B}"/>
  <bookViews>
    <workbookView xWindow="-108" yWindow="-108" windowWidth="23256" windowHeight="14016" activeTab="1" xr2:uid="{B853E129-E620-4025-A24F-201758402292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Sheet2!$A$19:$E$28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M4" i="1" l="1"/>
  <c r="L4" i="1"/>
  <c r="L2" i="1"/>
  <c r="J3" i="1"/>
  <c r="K3" i="1"/>
  <c r="L3" i="1"/>
  <c r="M3" i="1"/>
  <c r="J4" i="1"/>
  <c r="K4" i="1"/>
  <c r="J5" i="1"/>
  <c r="K5" i="1"/>
  <c r="L5" i="1"/>
  <c r="M5" i="1"/>
  <c r="J6" i="1"/>
  <c r="K6" i="1"/>
  <c r="L6" i="1"/>
  <c r="M6" i="1"/>
  <c r="J7" i="1"/>
  <c r="K7" i="1"/>
  <c r="L7" i="1"/>
  <c r="M7" i="1"/>
  <c r="J8" i="1"/>
  <c r="K8" i="1"/>
  <c r="L8" i="1"/>
  <c r="M8" i="1"/>
  <c r="J9" i="1"/>
  <c r="K9" i="1"/>
  <c r="L9" i="1"/>
  <c r="M9" i="1"/>
  <c r="J10" i="1"/>
  <c r="K10" i="1"/>
  <c r="L10" i="1"/>
  <c r="M10" i="1"/>
  <c r="J11" i="1"/>
  <c r="K11" i="1"/>
  <c r="L11" i="1"/>
  <c r="M11" i="1"/>
  <c r="J12" i="1"/>
  <c r="K12" i="1"/>
  <c r="L12" i="1"/>
  <c r="M12" i="1"/>
  <c r="J13" i="1"/>
  <c r="K13" i="1"/>
  <c r="L13" i="1"/>
  <c r="M13" i="1"/>
  <c r="J14" i="1"/>
  <c r="K14" i="1"/>
  <c r="L14" i="1"/>
  <c r="M14" i="1"/>
  <c r="J15" i="1"/>
  <c r="K15" i="1"/>
  <c r="L15" i="1"/>
  <c r="M15" i="1"/>
  <c r="J16" i="1"/>
  <c r="K16" i="1"/>
  <c r="L16" i="1"/>
  <c r="M16" i="1"/>
  <c r="J17" i="1"/>
  <c r="K17" i="1"/>
  <c r="L17" i="1"/>
  <c r="M17" i="1"/>
  <c r="M2" i="1"/>
  <c r="K2" i="1"/>
  <c r="J2" i="1"/>
</calcChain>
</file>

<file path=xl/sharedStrings.xml><?xml version="1.0" encoding="utf-8"?>
<sst xmlns="http://schemas.openxmlformats.org/spreadsheetml/2006/main" count="211" uniqueCount="66">
  <si>
    <t>Dataset_start</t>
  </si>
  <si>
    <t>Dataset_end</t>
  </si>
  <si>
    <t>Flows_1st</t>
  </si>
  <si>
    <t>Flows_2nd</t>
  </si>
  <si>
    <t>Floods_1st</t>
  </si>
  <si>
    <t>Floods_2nd</t>
  </si>
  <si>
    <t>Notes</t>
  </si>
  <si>
    <t>Booligal</t>
  </si>
  <si>
    <t>Used data from 1946 onwards as 1945 had &lt;180 days data</t>
  </si>
  <si>
    <t>Flows_ch</t>
  </si>
  <si>
    <t>Flood_ch</t>
  </si>
  <si>
    <t>Floods_50yr</t>
  </si>
  <si>
    <t>Flows_50yr</t>
  </si>
  <si>
    <t>Flood_50yrcg</t>
  </si>
  <si>
    <t>Flows_50yrch</t>
  </si>
  <si>
    <t>Chowilla_flows2sa</t>
  </si>
  <si>
    <t>Chowilla_renmarkPS</t>
  </si>
  <si>
    <t>Dataset is less than 50 years old, so estimates are conservative</t>
  </si>
  <si>
    <t>Chowilla_ML10</t>
  </si>
  <si>
    <t>Dataset is less than 50 years old, so estimates are conservative; discharge dataset ends in 2019</t>
  </si>
  <si>
    <t>Cumbung_4mile</t>
  </si>
  <si>
    <t>Cumbung_corrong</t>
  </si>
  <si>
    <t>Dataset is only 12 years old so cannot be analysed in this way</t>
  </si>
  <si>
    <t>Cumbung_bool</t>
  </si>
  <si>
    <t>Gwydir_yarraman</t>
  </si>
  <si>
    <t>Only calculating based on data from 1971 onwards as data prior to this are incomplete and many years are missing; estimates are conservative underestimates (can I average 1930s data that are OK with 1970s?? Would be nice to be able to use the 1930s data)</t>
  </si>
  <si>
    <t>Hattah_colignan</t>
  </si>
  <si>
    <t>Water level (flood) data are only from 1976 onwards; dataset is less than 50 years (with 15 year averages) so estimates are conservative underestimates</t>
  </si>
  <si>
    <t>Hattah_barham</t>
  </si>
  <si>
    <t>Lowbidgee_redbank</t>
  </si>
  <si>
    <t>Data gap between 1993 and 2006; dataset is less than 50 years so estimates are conservative underestimates</t>
  </si>
  <si>
    <t>Lowbidgee_narrandera</t>
  </si>
  <si>
    <t>Discharge only as water level was poorly correlated with lowbidgee; data gap between 1934 and 1975 means that 50-year estimate is a conservative underestimate using only 35 years of data</t>
  </si>
  <si>
    <t>Macquarie</t>
  </si>
  <si>
    <t>Data gap from 1960 to 1972 so estimates are conservative underestimates</t>
  </si>
  <si>
    <t>Paroo_willara</t>
  </si>
  <si>
    <t>Yantabulla_turra</t>
  </si>
  <si>
    <t>Dataset is very short, so estimates are very conservative</t>
  </si>
  <si>
    <t>Yantabulla_wyandra</t>
  </si>
  <si>
    <t>Lots of missing data so many years were excluded; conservative underestimates; discharge data only</t>
  </si>
  <si>
    <t>Wetland_complex</t>
  </si>
  <si>
    <t>Flood change in last 50 years (%)</t>
  </si>
  <si>
    <t>Flood change since start of data (%)</t>
  </si>
  <si>
    <t>Gwydir</t>
  </si>
  <si>
    <t>Macquarie Marshes</t>
  </si>
  <si>
    <t>Great Cumbung</t>
  </si>
  <si>
    <t>Booligal wetlands</t>
  </si>
  <si>
    <t>Chowilla Lindsay Walpolla</t>
  </si>
  <si>
    <t>Hattah Lakes</t>
  </si>
  <si>
    <t>Lowbidgee</t>
  </si>
  <si>
    <t>Paroo Overflow Swamps</t>
  </si>
  <si>
    <t>Yantabulla</t>
  </si>
  <si>
    <t>Flow change in last 50 years (%)</t>
  </si>
  <si>
    <t>Flow change since start of data (%)</t>
  </si>
  <si>
    <t>Discharge estimates are from Flows2SA gauge, flood estimates are averaged between Murray L10 and Renmark</t>
  </si>
  <si>
    <t>Estimates are based on Colignan, as it is adjacent to Hattah Lakes (whereas Barham is far away), however, Barham is a longer dataset so has been used for the "all-time" flood change (not for "all-time" flow change, given it has a value smaller than the 50-year flow change for Colignan). (IS THIS OK?)</t>
  </si>
  <si>
    <t>Estimates are all based on Redbank, as Narrandera's data gap prevented its dataset from being much longer than Redbank's anyway</t>
  </si>
  <si>
    <t>The longer dataset (Wyandra) was used for discharge change, but Turra had to be used for flood change as water levels were poorly correlated between the two gauges</t>
  </si>
  <si>
    <t>Average</t>
  </si>
  <si>
    <t>Values</t>
  </si>
  <si>
    <t>Type</t>
  </si>
  <si>
    <t>Time</t>
  </si>
  <si>
    <t>All</t>
  </si>
  <si>
    <t>Flow</t>
  </si>
  <si>
    <t>Recent</t>
  </si>
  <si>
    <t>Flood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</si>
</sst>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Sheet2!$D$19</c:f>
              <c:strCache>
                <c:ptCount val="1"/>
                <c:pt idx="0">
                  <c:v>Flood change in last 50 years (%)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dLbls>
            <c:dLbl>
              <c:idx val="0"/>
              <c:layout>
                <c:manualLayout>
                  <c:x val="-7.6850988267992725E-18"/>
                  <c:y val="3.519178307501729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37-486F-AFAF-943D2D0B443E}"/>
                </c:ext>
              </c:extLst>
            </c:dLbl>
            <c:dLbl>
              <c:idx val="1"/>
              <c:layout>
                <c:manualLayout>
                  <c:x val="-3.074039530719709E-17"/>
                  <c:y val="3.77052415277409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37-486F-AFAF-943D2D0B443E}"/>
                </c:ext>
              </c:extLst>
            </c:dLbl>
            <c:dLbl>
              <c:idx val="3"/>
              <c:layout>
                <c:manualLayout>
                  <c:x val="-6.148079061439418E-17"/>
                  <c:y val="3.77052415277410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37-486F-AFAF-943D2D0B44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Sheet2!$A$20:$A$28</c:f>
              <c:strCache>
                <c:ptCount val="9"/>
                <c:pt idx="0">
                  <c:v>Great Cumbung</c:v>
                </c:pt>
                <c:pt idx="1">
                  <c:v>Booligal wetlands</c:v>
                </c:pt>
                <c:pt idx="2">
                  <c:v>Macquarie Marshes</c:v>
                </c:pt>
                <c:pt idx="3">
                  <c:v>Chowilla Lindsay Walpolla</c:v>
                </c:pt>
                <c:pt idx="4">
                  <c:v>Hattah Lakes</c:v>
                </c:pt>
                <c:pt idx="5">
                  <c:v>Gwydir</c:v>
                </c:pt>
                <c:pt idx="6">
                  <c:v>Lowbidgee</c:v>
                </c:pt>
                <c:pt idx="7">
                  <c:v>Paroo Overflow Swamps</c:v>
                </c:pt>
                <c:pt idx="8">
                  <c:v>Yantabulla</c:v>
                </c:pt>
              </c:strCache>
            </c:strRef>
          </c:cat>
          <c:val>
            <c:numRef>
              <c:f>Sheet2!$D$20:$D$28</c:f>
              <c:numCache>
                <c:formatCode>General</c:formatCode>
                <c:ptCount val="9"/>
                <c:pt idx="0">
                  <c:v>-63</c:v>
                </c:pt>
                <c:pt idx="1">
                  <c:v>-52</c:v>
                </c:pt>
                <c:pt idx="2">
                  <c:v>-59</c:v>
                </c:pt>
                <c:pt idx="3">
                  <c:v>-54</c:v>
                </c:pt>
                <c:pt idx="4">
                  <c:v>-50</c:v>
                </c:pt>
                <c:pt idx="5">
                  <c:v>-58</c:v>
                </c:pt>
                <c:pt idx="6">
                  <c:v>-28</c:v>
                </c:pt>
                <c:pt idx="7">
                  <c:v>-18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6-4873-A90F-1506C6E2ED84}"/>
            </c:ext>
          </c:extLst>
        </c:ser>
        <c:ser>
          <c:idx val="1"/>
          <c:order val="1"/>
          <c:tx>
            <c:strRef>
              <c:f>Sheet2!$B$19</c:f>
              <c:strCache>
                <c:ptCount val="1"/>
                <c:pt idx="0">
                  <c:v>Flow change in last 50 years (%)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9525" cap="flat" cmpd="sng" algn="ctr">
              <a:solidFill>
                <a:schemeClr val="bg1">
                  <a:lumMod val="75000"/>
                </a:schemeClr>
              </a:solidFill>
              <a:miter lim="800000"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77052415277409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37-486F-AFAF-943D2D0B443E}"/>
                </c:ext>
              </c:extLst>
            </c:dLbl>
            <c:dLbl>
              <c:idx val="1"/>
              <c:layout>
                <c:manualLayout>
                  <c:x val="0"/>
                  <c:y val="3.519118929791993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137-486F-AFAF-943D2D0B443E}"/>
                </c:ext>
              </c:extLst>
            </c:dLbl>
            <c:dLbl>
              <c:idx val="4"/>
              <c:layout>
                <c:manualLayout>
                  <c:x val="0"/>
                  <c:y val="3.51911892979201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137-486F-AFAF-943D2D0B44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Sheet2!$A$20:$A$28</c:f>
              <c:strCache>
                <c:ptCount val="9"/>
                <c:pt idx="0">
                  <c:v>Great Cumbung</c:v>
                </c:pt>
                <c:pt idx="1">
                  <c:v>Booligal wetlands</c:v>
                </c:pt>
                <c:pt idx="2">
                  <c:v>Macquarie Marshes</c:v>
                </c:pt>
                <c:pt idx="3">
                  <c:v>Chowilla Lindsay Walpolla</c:v>
                </c:pt>
                <c:pt idx="4">
                  <c:v>Hattah Lakes</c:v>
                </c:pt>
                <c:pt idx="5">
                  <c:v>Gwydir</c:v>
                </c:pt>
                <c:pt idx="6">
                  <c:v>Lowbidgee</c:v>
                </c:pt>
                <c:pt idx="7">
                  <c:v>Paroo Overflow Swamps</c:v>
                </c:pt>
                <c:pt idx="8">
                  <c:v>Yantabulla</c:v>
                </c:pt>
              </c:strCache>
            </c:strRef>
          </c:cat>
          <c:val>
            <c:numRef>
              <c:f>Sheet2!$B$20:$B$28</c:f>
              <c:numCache>
                <c:formatCode>General</c:formatCode>
                <c:ptCount val="9"/>
                <c:pt idx="0">
                  <c:v>-58</c:v>
                </c:pt>
                <c:pt idx="1">
                  <c:v>-58</c:v>
                </c:pt>
                <c:pt idx="2">
                  <c:v>-68</c:v>
                </c:pt>
                <c:pt idx="3">
                  <c:v>-47</c:v>
                </c:pt>
                <c:pt idx="4">
                  <c:v>-57</c:v>
                </c:pt>
                <c:pt idx="5">
                  <c:v>-56</c:v>
                </c:pt>
                <c:pt idx="6">
                  <c:v>-28</c:v>
                </c:pt>
                <c:pt idx="7">
                  <c:v>-27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36-4873-A90F-1506C6E2ED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62416592"/>
        <c:axId val="162423664"/>
      </c:barChart>
      <c:catAx>
        <c:axId val="1624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3664"/>
        <c:crosses val="autoZero"/>
        <c:auto val="1"/>
        <c:lblAlgn val="ctr"/>
        <c:lblOffset val="100"/>
        <c:noMultiLvlLbl val="0"/>
      </c:catAx>
      <c:valAx>
        <c:axId val="162423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>
                <a:solidFill>
                  <a:schemeClr val="tx1"/>
                </a:solidFill>
              </a:rPr>
              <a:t>Flow frequency change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Sheet2!$B$19</c:f>
              <c:strCache>
                <c:ptCount val="1"/>
                <c:pt idx="0">
                  <c:v>Flow change in last 50 years (%)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Sheet2!$A$20:$A$28</c:f>
              <c:strCache>
                <c:ptCount val="9"/>
                <c:pt idx="0">
                  <c:v>Great Cumbung</c:v>
                </c:pt>
                <c:pt idx="1">
                  <c:v>Booligal wetlands</c:v>
                </c:pt>
                <c:pt idx="2">
                  <c:v>Macquarie Marshes</c:v>
                </c:pt>
                <c:pt idx="3">
                  <c:v>Chowilla Lindsay Walpolla</c:v>
                </c:pt>
                <c:pt idx="4">
                  <c:v>Hattah Lakes</c:v>
                </c:pt>
                <c:pt idx="5">
                  <c:v>Gwydir</c:v>
                </c:pt>
                <c:pt idx="6">
                  <c:v>Lowbidgee</c:v>
                </c:pt>
                <c:pt idx="7">
                  <c:v>Paroo Overflow Swamps</c:v>
                </c:pt>
                <c:pt idx="8">
                  <c:v>Yantabulla</c:v>
                </c:pt>
              </c:strCache>
            </c:strRef>
          </c:cat>
          <c:val>
            <c:numRef>
              <c:f>Sheet2!$B$20:$B$28</c:f>
              <c:numCache>
                <c:formatCode>General</c:formatCode>
                <c:ptCount val="9"/>
                <c:pt idx="0">
                  <c:v>-58</c:v>
                </c:pt>
                <c:pt idx="1">
                  <c:v>-58</c:v>
                </c:pt>
                <c:pt idx="2">
                  <c:v>-68</c:v>
                </c:pt>
                <c:pt idx="3">
                  <c:v>-47</c:v>
                </c:pt>
                <c:pt idx="4">
                  <c:v>-57</c:v>
                </c:pt>
                <c:pt idx="5">
                  <c:v>-56</c:v>
                </c:pt>
                <c:pt idx="6">
                  <c:v>-28</c:v>
                </c:pt>
                <c:pt idx="7">
                  <c:v>-27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1-4C55-AE8E-7A846E7B68E7}"/>
            </c:ext>
          </c:extLst>
        </c:ser>
        <c:ser>
          <c:idx val="1"/>
          <c:order val="1"/>
          <c:tx>
            <c:strRef>
              <c:f>Sheet2!$C$19</c:f>
              <c:strCache>
                <c:ptCount val="1"/>
                <c:pt idx="0">
                  <c:v>Flow change since start of data (%)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Sheet2!$A$20:$A$28</c:f>
              <c:strCache>
                <c:ptCount val="9"/>
                <c:pt idx="0">
                  <c:v>Great Cumbung</c:v>
                </c:pt>
                <c:pt idx="1">
                  <c:v>Booligal wetlands</c:v>
                </c:pt>
                <c:pt idx="2">
                  <c:v>Macquarie Marshes</c:v>
                </c:pt>
                <c:pt idx="3">
                  <c:v>Chowilla Lindsay Walpolla</c:v>
                </c:pt>
                <c:pt idx="4">
                  <c:v>Hattah Lakes</c:v>
                </c:pt>
                <c:pt idx="5">
                  <c:v>Gwydir</c:v>
                </c:pt>
                <c:pt idx="6">
                  <c:v>Lowbidgee</c:v>
                </c:pt>
                <c:pt idx="7">
                  <c:v>Paroo Overflow Swamps</c:v>
                </c:pt>
                <c:pt idx="8">
                  <c:v>Yantabulla</c:v>
                </c:pt>
              </c:strCache>
            </c:strRef>
          </c:cat>
          <c:val>
            <c:numRef>
              <c:f>Sheet2!$C$20:$C$28</c:f>
              <c:numCache>
                <c:formatCode>General</c:formatCode>
                <c:ptCount val="9"/>
                <c:pt idx="0">
                  <c:v>-75</c:v>
                </c:pt>
                <c:pt idx="1">
                  <c:v>-74</c:v>
                </c:pt>
                <c:pt idx="2">
                  <c:v>-68</c:v>
                </c:pt>
                <c:pt idx="3">
                  <c:v>-58</c:v>
                </c:pt>
                <c:pt idx="4">
                  <c:v>-57</c:v>
                </c:pt>
                <c:pt idx="5">
                  <c:v>-56</c:v>
                </c:pt>
                <c:pt idx="6">
                  <c:v>-28</c:v>
                </c:pt>
                <c:pt idx="7">
                  <c:v>-27</c:v>
                </c:pt>
                <c:pt idx="8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1-4C55-AE8E-7A846E7B68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62416592"/>
        <c:axId val="162423664"/>
      </c:barChart>
      <c:catAx>
        <c:axId val="1624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3664"/>
        <c:crosses val="autoZero"/>
        <c:auto val="1"/>
        <c:lblAlgn val="ctr"/>
        <c:lblOffset val="100"/>
        <c:noMultiLvlLbl val="0"/>
      </c:catAx>
      <c:valAx>
        <c:axId val="162423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AU">
                <a:solidFill>
                  <a:schemeClr val="tx1"/>
                </a:solidFill>
              </a:rPr>
              <a:t>Flood frequency change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Sheet2!$D$19</c:f>
              <c:strCache>
                <c:ptCount val="1"/>
                <c:pt idx="0">
                  <c:v>Flood change in last 50 years (%)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Sheet2!$A$20:$A$28</c:f>
              <c:strCache>
                <c:ptCount val="9"/>
                <c:pt idx="0">
                  <c:v>Great Cumbung</c:v>
                </c:pt>
                <c:pt idx="1">
                  <c:v>Booligal wetlands</c:v>
                </c:pt>
                <c:pt idx="2">
                  <c:v>Macquarie Marshes</c:v>
                </c:pt>
                <c:pt idx="3">
                  <c:v>Chowilla Lindsay Walpolla</c:v>
                </c:pt>
                <c:pt idx="4">
                  <c:v>Hattah Lakes</c:v>
                </c:pt>
                <c:pt idx="5">
                  <c:v>Gwydir</c:v>
                </c:pt>
                <c:pt idx="6">
                  <c:v>Lowbidgee</c:v>
                </c:pt>
                <c:pt idx="7">
                  <c:v>Paroo Overflow Swamps</c:v>
                </c:pt>
                <c:pt idx="8">
                  <c:v>Yantabulla</c:v>
                </c:pt>
              </c:strCache>
            </c:strRef>
          </c:cat>
          <c:val>
            <c:numRef>
              <c:f>Sheet2!$D$20:$D$28</c:f>
              <c:numCache>
                <c:formatCode>General</c:formatCode>
                <c:ptCount val="9"/>
                <c:pt idx="0">
                  <c:v>-63</c:v>
                </c:pt>
                <c:pt idx="1">
                  <c:v>-52</c:v>
                </c:pt>
                <c:pt idx="2">
                  <c:v>-59</c:v>
                </c:pt>
                <c:pt idx="3">
                  <c:v>-54</c:v>
                </c:pt>
                <c:pt idx="4">
                  <c:v>-50</c:v>
                </c:pt>
                <c:pt idx="5">
                  <c:v>-58</c:v>
                </c:pt>
                <c:pt idx="6">
                  <c:v>-28</c:v>
                </c:pt>
                <c:pt idx="7">
                  <c:v>-18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D-4532-B375-B2286A168E4A}"/>
            </c:ext>
          </c:extLst>
        </c:ser>
        <c:ser>
          <c:idx val="1"/>
          <c:order val="1"/>
          <c:tx>
            <c:strRef>
              <c:f>Sheet2!$E$19</c:f>
              <c:strCache>
                <c:ptCount val="1"/>
                <c:pt idx="0">
                  <c:v>Flood change since start of data (%)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9525" cap="flat" cmpd="sng" algn="ctr">
              <a:solidFill>
                <a:schemeClr val="bg1">
                  <a:lumMod val="85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Sheet2!$A$20:$A$28</c:f>
              <c:strCache>
                <c:ptCount val="9"/>
                <c:pt idx="0">
                  <c:v>Great Cumbung</c:v>
                </c:pt>
                <c:pt idx="1">
                  <c:v>Booligal wetlands</c:v>
                </c:pt>
                <c:pt idx="2">
                  <c:v>Macquarie Marshes</c:v>
                </c:pt>
                <c:pt idx="3">
                  <c:v>Chowilla Lindsay Walpolla</c:v>
                </c:pt>
                <c:pt idx="4">
                  <c:v>Hattah Lakes</c:v>
                </c:pt>
                <c:pt idx="5">
                  <c:v>Gwydir</c:v>
                </c:pt>
                <c:pt idx="6">
                  <c:v>Lowbidgee</c:v>
                </c:pt>
                <c:pt idx="7">
                  <c:v>Paroo Overflow Swamps</c:v>
                </c:pt>
                <c:pt idx="8">
                  <c:v>Yantabulla</c:v>
                </c:pt>
              </c:strCache>
            </c:strRef>
          </c:cat>
          <c:val>
            <c:numRef>
              <c:f>Sheet2!$E$20:$E$28</c:f>
              <c:numCache>
                <c:formatCode>General</c:formatCode>
                <c:ptCount val="9"/>
                <c:pt idx="0">
                  <c:v>-73</c:v>
                </c:pt>
                <c:pt idx="1">
                  <c:v>-74</c:v>
                </c:pt>
                <c:pt idx="2">
                  <c:v>-59</c:v>
                </c:pt>
                <c:pt idx="3">
                  <c:v>-54</c:v>
                </c:pt>
                <c:pt idx="4">
                  <c:v>-71</c:v>
                </c:pt>
                <c:pt idx="5">
                  <c:v>-58</c:v>
                </c:pt>
                <c:pt idx="6">
                  <c:v>-28</c:v>
                </c:pt>
                <c:pt idx="7">
                  <c:v>-18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D-4532-B375-B2286A168E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62416592"/>
        <c:axId val="162423664"/>
      </c:barChart>
      <c:catAx>
        <c:axId val="16241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effectLst>
                  <a:glow rad="127000">
                    <a:schemeClr val="bg1"/>
                  </a:glo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23664"/>
        <c:crosses val="autoZero"/>
        <c:auto val="1"/>
        <c:lblAlgn val="ctr"/>
        <c:lblOffset val="100"/>
        <c:noMultiLvlLbl val="0"/>
      </c:catAx>
      <c:valAx>
        <c:axId val="162423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78059</xdr:colOff>
      <xdr:row>29</xdr:row>
      <xdr:rowOff>99059</xdr:rowOff>
    </xdr:from>
    <xdr:to>
      <xdr:col>25</xdr:col>
      <xdr:colOff>329519</xdr:colOff>
      <xdr:row>57</xdr:row>
      <xdr:rowOff>34289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ADC5FFA3-A798-4366-BAFF-B823C5768916}"/>
            </a:ext>
          </a:extLst>
        </xdr:cNvPr>
        <xdr:cNvGrpSpPr/>
      </xdr:nvGrpSpPr>
      <xdr:grpSpPr>
        <a:xfrm>
          <a:off x="8018583" y="5360488"/>
          <a:ext cx="7581174" cy="5015230"/>
          <a:chOff x="548026" y="5948147"/>
          <a:chExt cx="7566660" cy="505587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10B26254-1672-4AAD-B4A9-6F2633E0DDA5}"/>
              </a:ext>
            </a:extLst>
          </xdr:cNvPr>
          <xdr:cNvGraphicFramePr/>
        </xdr:nvGraphicFramePr>
        <xdr:xfrm>
          <a:off x="548026" y="5948147"/>
          <a:ext cx="7566660" cy="50558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08C5C046-397A-418F-A5D2-88D9CA5AE375}"/>
              </a:ext>
            </a:extLst>
          </xdr:cNvPr>
          <xdr:cNvCxnSpPr/>
        </xdr:nvCxnSpPr>
        <xdr:spPr>
          <a:xfrm>
            <a:off x="875684" y="7671836"/>
            <a:ext cx="707898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213732</xdr:colOff>
      <xdr:row>32</xdr:row>
      <xdr:rowOff>0</xdr:rowOff>
    </xdr:from>
    <xdr:to>
      <xdr:col>12</xdr:col>
      <xdr:colOff>465192</xdr:colOff>
      <xdr:row>59</xdr:row>
      <xdr:rowOff>121084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22E1F86-68AD-4F4C-B828-AFAA4F370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30</xdr:row>
      <xdr:rowOff>0</xdr:rowOff>
    </xdr:from>
    <xdr:to>
      <xdr:col>38</xdr:col>
      <xdr:colOff>251460</xdr:colOff>
      <xdr:row>57</xdr:row>
      <xdr:rowOff>121084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30276186-0690-4954-9C21-8AA60F4B98C5}"/>
            </a:ext>
          </a:extLst>
        </xdr:cNvPr>
        <xdr:cNvGrpSpPr/>
      </xdr:nvGrpSpPr>
      <xdr:grpSpPr>
        <a:xfrm>
          <a:off x="15881048" y="5442857"/>
          <a:ext cx="7581174" cy="5019656"/>
          <a:chOff x="548026" y="5948147"/>
          <a:chExt cx="7566660" cy="5055870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26B34A45-F13C-4487-8207-1D60210FE958}"/>
              </a:ext>
            </a:extLst>
          </xdr:cNvPr>
          <xdr:cNvGrpSpPr/>
        </xdr:nvGrpSpPr>
        <xdr:grpSpPr>
          <a:xfrm>
            <a:off x="548026" y="5948147"/>
            <a:ext cx="7566660" cy="5055870"/>
            <a:chOff x="418486" y="1501877"/>
            <a:chExt cx="7566660" cy="5055870"/>
          </a:xfrm>
        </xdr:grpSpPr>
        <xdr:graphicFrame macro="">
          <xdr:nvGraphicFramePr>
            <xdr:cNvPr id="18" name="Chart 17">
              <a:extLst>
                <a:ext uri="{FF2B5EF4-FFF2-40B4-BE49-F238E27FC236}">
                  <a16:creationId xmlns:a16="http://schemas.microsoft.com/office/drawing/2014/main" id="{7E72D9FB-F234-489E-A8B8-D7AC7B600321}"/>
                </a:ext>
              </a:extLst>
            </xdr:cNvPr>
            <xdr:cNvGraphicFramePr/>
          </xdr:nvGraphicFramePr>
          <xdr:xfrm>
            <a:off x="418486" y="1501877"/>
            <a:ext cx="7566660" cy="505587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D9B3F7AF-1288-4106-ACE7-C4A6773A955B}"/>
                </a:ext>
              </a:extLst>
            </xdr:cNvPr>
            <xdr:cNvCxnSpPr/>
          </xdr:nvCxnSpPr>
          <xdr:spPr>
            <a:xfrm>
              <a:off x="763003" y="4933166"/>
              <a:ext cx="7078980" cy="0"/>
            </a:xfrm>
            <a:prstGeom prst="line">
              <a:avLst/>
            </a:prstGeom>
            <a:ln>
              <a:solidFill>
                <a:schemeClr val="bg2">
                  <a:lumMod val="25000"/>
                </a:schemeClr>
              </a:solidFill>
            </a:ln>
            <a:effectLst/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7210386E-79E8-4403-8578-E84F799B41D6}"/>
                </a:ext>
              </a:extLst>
            </xdr:cNvPr>
            <xdr:cNvCxnSpPr/>
          </xdr:nvCxnSpPr>
          <xdr:spPr>
            <a:xfrm>
              <a:off x="755383" y="5119855"/>
              <a:ext cx="7078980" cy="19050"/>
            </a:xfrm>
            <a:prstGeom prst="line">
              <a:avLst/>
            </a:prstGeom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1">
              <a:schemeClr val="accent2"/>
            </a:lnRef>
            <a:fillRef idx="0">
              <a:schemeClr val="accent2"/>
            </a:fillRef>
            <a:effectRef idx="0">
              <a:schemeClr val="accent2"/>
            </a:effectRef>
            <a:fontRef idx="minor">
              <a:schemeClr val="tx1"/>
            </a:fontRef>
          </xdr:style>
        </xdr:cxn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9A8C6B87-BC1D-4B99-B364-1E20750F05F6}"/>
                </a:ext>
              </a:extLst>
            </xdr:cNvPr>
            <xdr:cNvSpPr txBox="1"/>
          </xdr:nvSpPr>
          <xdr:spPr>
            <a:xfrm>
              <a:off x="6843763" y="4681706"/>
              <a:ext cx="1080937" cy="264560"/>
            </a:xfrm>
            <a:prstGeom prst="rect">
              <a:avLst/>
            </a:prstGeom>
            <a:noFill/>
            <a:effectLst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AU" sz="1100">
                  <a:solidFill>
                    <a:schemeClr val="tx1"/>
                  </a:solidFill>
                </a:rPr>
                <a:t>Average = -39.6</a:t>
              </a:r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1E0D4294-DC4C-4DE7-85E2-3780C76E0776}"/>
                </a:ext>
              </a:extLst>
            </xdr:cNvPr>
            <xdr:cNvSpPr txBox="1"/>
          </xdr:nvSpPr>
          <xdr:spPr>
            <a:xfrm>
              <a:off x="6851384" y="5108425"/>
              <a:ext cx="1080937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AU" sz="1100">
                  <a:solidFill>
                    <a:schemeClr val="tx1"/>
                  </a:solidFill>
                </a:rPr>
                <a:t>Average = -45.6</a:t>
              </a:r>
            </a:p>
          </xdr:txBody>
        </xdr: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D2847DBE-9968-4D97-8E65-0D2581916C42}"/>
              </a:ext>
            </a:extLst>
          </xdr:cNvPr>
          <xdr:cNvCxnSpPr/>
        </xdr:nvCxnSpPr>
        <xdr:spPr>
          <a:xfrm>
            <a:off x="884923" y="7882105"/>
            <a:ext cx="7078980" cy="0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229220</xdr:colOff>
      <xdr:row>51</xdr:row>
      <xdr:rowOff>126999</xdr:rowOff>
    </xdr:from>
    <xdr:to>
      <xdr:col>14</xdr:col>
      <xdr:colOff>371709</xdr:colOff>
      <xdr:row>55</xdr:row>
      <xdr:rowOff>61951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236FDD1-AE6F-4F0C-AB04-66684432A64F}"/>
            </a:ext>
          </a:extLst>
        </xdr:cNvPr>
        <xdr:cNvSpPr/>
      </xdr:nvSpPr>
      <xdr:spPr>
        <a:xfrm>
          <a:off x="8780553" y="9379856"/>
          <a:ext cx="142489" cy="660666"/>
        </a:xfrm>
        <a:prstGeom prst="rect">
          <a:avLst/>
        </a:prstGeom>
        <a:solidFill>
          <a:schemeClr val="bg1">
            <a:lumMod val="65000"/>
            <a:alpha val="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13</xdr:col>
      <xdr:colOff>538974</xdr:colOff>
      <xdr:row>54</xdr:row>
      <xdr:rowOff>136292</xdr:rowOff>
    </xdr:from>
    <xdr:to>
      <xdr:col>14</xdr:col>
      <xdr:colOff>387195</xdr:colOff>
      <xdr:row>55</xdr:row>
      <xdr:rowOff>176561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81E98A-C6BB-4826-9438-8B6767E38159}"/>
            </a:ext>
          </a:extLst>
        </xdr:cNvPr>
        <xdr:cNvSpPr txBox="1"/>
      </xdr:nvSpPr>
      <xdr:spPr>
        <a:xfrm>
          <a:off x="8479498" y="9933435"/>
          <a:ext cx="459030" cy="2216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/>
            <a:t>-73</a:t>
          </a:r>
        </a:p>
      </xdr:txBody>
    </xdr:sp>
    <xdr:clientData/>
  </xdr:twoCellAnchor>
  <xdr:twoCellAnchor>
    <xdr:from>
      <xdr:col>14</xdr:col>
      <xdr:colOff>32214</xdr:colOff>
      <xdr:row>52</xdr:row>
      <xdr:rowOff>142487</xdr:rowOff>
    </xdr:from>
    <xdr:to>
      <xdr:col>14</xdr:col>
      <xdr:colOff>174703</xdr:colOff>
      <xdr:row>54</xdr:row>
      <xdr:rowOff>164619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1D913A8-69E5-4544-82B6-7FE5359104F2}"/>
            </a:ext>
          </a:extLst>
        </xdr:cNvPr>
        <xdr:cNvSpPr/>
      </xdr:nvSpPr>
      <xdr:spPr>
        <a:xfrm>
          <a:off x="8583547" y="9576773"/>
          <a:ext cx="142489" cy="384989"/>
        </a:xfrm>
        <a:prstGeom prst="rect">
          <a:avLst/>
        </a:prstGeom>
        <a:solidFill>
          <a:schemeClr val="tx1">
            <a:lumMod val="50000"/>
            <a:lumOff val="50000"/>
            <a:alpha val="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14</xdr:col>
      <xdr:colOff>124521</xdr:colOff>
      <xdr:row>55</xdr:row>
      <xdr:rowOff>3717</xdr:rowOff>
    </xdr:from>
    <xdr:to>
      <xdr:col>14</xdr:col>
      <xdr:colOff>582961</xdr:colOff>
      <xdr:row>56</xdr:row>
      <xdr:rowOff>43986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9CC2F98-5130-4FA6-B103-554A51DC30B1}"/>
            </a:ext>
          </a:extLst>
        </xdr:cNvPr>
        <xdr:cNvSpPr txBox="1"/>
      </xdr:nvSpPr>
      <xdr:spPr>
        <a:xfrm>
          <a:off x="8675854" y="9982288"/>
          <a:ext cx="458440" cy="221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/>
            <a:t>-75</a:t>
          </a:r>
        </a:p>
      </xdr:txBody>
    </xdr:sp>
    <xdr:clientData/>
  </xdr:twoCellAnchor>
  <xdr:twoCellAnchor>
    <xdr:from>
      <xdr:col>15</xdr:col>
      <xdr:colOff>209394</xdr:colOff>
      <xdr:row>50</xdr:row>
      <xdr:rowOff>68146</xdr:rowOff>
    </xdr:from>
    <xdr:to>
      <xdr:col>15</xdr:col>
      <xdr:colOff>351883</xdr:colOff>
      <xdr:row>55</xdr:row>
      <xdr:rowOff>28946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A0F0C8EE-2503-44EC-853B-55DAFC89E7F8}"/>
            </a:ext>
          </a:extLst>
        </xdr:cNvPr>
        <xdr:cNvSpPr/>
      </xdr:nvSpPr>
      <xdr:spPr>
        <a:xfrm>
          <a:off x="9398218" y="9032852"/>
          <a:ext cx="142489" cy="857270"/>
        </a:xfrm>
        <a:prstGeom prst="rect">
          <a:avLst/>
        </a:prstGeom>
        <a:solidFill>
          <a:schemeClr val="tx1">
            <a:lumMod val="50000"/>
            <a:lumOff val="50000"/>
            <a:alpha val="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15</xdr:col>
      <xdr:colOff>106555</xdr:colOff>
      <xdr:row>54</xdr:row>
      <xdr:rowOff>156117</xdr:rowOff>
    </xdr:from>
    <xdr:to>
      <xdr:col>15</xdr:col>
      <xdr:colOff>564995</xdr:colOff>
      <xdr:row>56</xdr:row>
      <xdr:rowOff>13630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6867C46-0B30-484A-8225-ECA62DBBC363}"/>
            </a:ext>
          </a:extLst>
        </xdr:cNvPr>
        <xdr:cNvSpPr txBox="1"/>
      </xdr:nvSpPr>
      <xdr:spPr>
        <a:xfrm>
          <a:off x="9295379" y="9837999"/>
          <a:ext cx="458440" cy="216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/>
            <a:t>-74</a:t>
          </a:r>
        </a:p>
      </xdr:txBody>
    </xdr:sp>
    <xdr:clientData/>
  </xdr:twoCellAnchor>
  <xdr:twoCellAnchor>
    <xdr:from>
      <xdr:col>15</xdr:col>
      <xdr:colOff>409498</xdr:colOff>
      <xdr:row>51</xdr:row>
      <xdr:rowOff>124521</xdr:rowOff>
    </xdr:from>
    <xdr:to>
      <xdr:col>15</xdr:col>
      <xdr:colOff>551987</xdr:colOff>
      <xdr:row>55</xdr:row>
      <xdr:rowOff>27878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D56C6967-4154-4F51-87D0-F803A6DCD6DD}"/>
            </a:ext>
          </a:extLst>
        </xdr:cNvPr>
        <xdr:cNvSpPr/>
      </xdr:nvSpPr>
      <xdr:spPr>
        <a:xfrm>
          <a:off x="9598322" y="9268521"/>
          <a:ext cx="142489" cy="620533"/>
        </a:xfrm>
        <a:prstGeom prst="rect">
          <a:avLst/>
        </a:prstGeom>
        <a:solidFill>
          <a:schemeClr val="bg1">
            <a:lumMod val="65000"/>
            <a:alpha val="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15</xdr:col>
      <xdr:colOff>305419</xdr:colOff>
      <xdr:row>54</xdr:row>
      <xdr:rowOff>159834</xdr:rowOff>
    </xdr:from>
    <xdr:to>
      <xdr:col>16</xdr:col>
      <xdr:colOff>153640</xdr:colOff>
      <xdr:row>56</xdr:row>
      <xdr:rowOff>17347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2CF4B252-7BBF-4C26-82E6-BF34246FDC6B}"/>
            </a:ext>
          </a:extLst>
        </xdr:cNvPr>
        <xdr:cNvSpPr txBox="1"/>
      </xdr:nvSpPr>
      <xdr:spPr>
        <a:xfrm>
          <a:off x="9494243" y="9841716"/>
          <a:ext cx="460809" cy="2161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/>
            <a:t>-74</a:t>
          </a:r>
        </a:p>
      </xdr:txBody>
    </xdr:sp>
    <xdr:clientData/>
  </xdr:twoCellAnchor>
  <xdr:twoCellAnchor>
    <xdr:from>
      <xdr:col>17</xdr:col>
      <xdr:colOff>562516</xdr:colOff>
      <xdr:row>50</xdr:row>
      <xdr:rowOff>143107</xdr:rowOff>
    </xdr:from>
    <xdr:to>
      <xdr:col>18</xdr:col>
      <xdr:colOff>94786</xdr:colOff>
      <xdr:row>51</xdr:row>
      <xdr:rowOff>114611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9890EDA-CEA5-4ECB-B358-007DEFC8C77F}"/>
            </a:ext>
          </a:extLst>
        </xdr:cNvPr>
        <xdr:cNvSpPr/>
      </xdr:nvSpPr>
      <xdr:spPr>
        <a:xfrm>
          <a:off x="10976516" y="9107813"/>
          <a:ext cx="144858" cy="150798"/>
        </a:xfrm>
        <a:prstGeom prst="rect">
          <a:avLst/>
        </a:prstGeom>
        <a:solidFill>
          <a:schemeClr val="tx1">
            <a:lumMod val="50000"/>
            <a:lumOff val="50000"/>
            <a:alpha val="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17</xdr:col>
      <xdr:colOff>470209</xdr:colOff>
      <xdr:row>51</xdr:row>
      <xdr:rowOff>64429</xdr:rowOff>
    </xdr:from>
    <xdr:to>
      <xdr:col>18</xdr:col>
      <xdr:colOff>318430</xdr:colOff>
      <xdr:row>52</xdr:row>
      <xdr:rowOff>104698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D7F9025-4F75-4356-9251-E588DE83357F}"/>
            </a:ext>
          </a:extLst>
        </xdr:cNvPr>
        <xdr:cNvSpPr txBox="1"/>
      </xdr:nvSpPr>
      <xdr:spPr>
        <a:xfrm>
          <a:off x="10884209" y="9208429"/>
          <a:ext cx="460809" cy="219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/>
            <a:t>-58</a:t>
          </a:r>
        </a:p>
      </xdr:txBody>
    </xdr:sp>
    <xdr:clientData/>
  </xdr:twoCellAnchor>
  <xdr:twoCellAnchor>
    <xdr:from>
      <xdr:col>19</xdr:col>
      <xdr:colOff>332678</xdr:colOff>
      <xdr:row>51</xdr:row>
      <xdr:rowOff>84873</xdr:rowOff>
    </xdr:from>
    <xdr:to>
      <xdr:col>19</xdr:col>
      <xdr:colOff>475167</xdr:colOff>
      <xdr:row>54</xdr:row>
      <xdr:rowOff>61952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B687DC3A-DE08-4F63-A561-9D3F040BCB3C}"/>
            </a:ext>
          </a:extLst>
        </xdr:cNvPr>
        <xdr:cNvSpPr/>
      </xdr:nvSpPr>
      <xdr:spPr>
        <a:xfrm>
          <a:off x="11971854" y="9228873"/>
          <a:ext cx="142489" cy="514961"/>
        </a:xfrm>
        <a:prstGeom prst="rect">
          <a:avLst/>
        </a:prstGeom>
        <a:solidFill>
          <a:schemeClr val="bg1">
            <a:lumMod val="65000"/>
            <a:alpha val="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237893</xdr:colOff>
      <xdr:row>54</xdr:row>
      <xdr:rowOff>11771</xdr:rowOff>
    </xdr:from>
    <xdr:to>
      <xdr:col>20</xdr:col>
      <xdr:colOff>86114</xdr:colOff>
      <xdr:row>55</xdr:row>
      <xdr:rowOff>52040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E0D836B-1487-40AD-A10B-6558EED614B6}"/>
            </a:ext>
          </a:extLst>
        </xdr:cNvPr>
        <xdr:cNvSpPr txBox="1"/>
      </xdr:nvSpPr>
      <xdr:spPr>
        <a:xfrm>
          <a:off x="11877069" y="9693653"/>
          <a:ext cx="460810" cy="219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900"/>
            <a:t>-71</a:t>
          </a:r>
        </a:p>
      </xdr:txBody>
    </xdr:sp>
    <xdr:clientData/>
  </xdr:twoCellAnchor>
  <xdr:twoCellAnchor>
    <xdr:from>
      <xdr:col>15</xdr:col>
      <xdr:colOff>574139</xdr:colOff>
      <xdr:row>31</xdr:row>
      <xdr:rowOff>66053</xdr:rowOff>
    </xdr:from>
    <xdr:to>
      <xdr:col>16</xdr:col>
      <xdr:colOff>42611</xdr:colOff>
      <xdr:row>31</xdr:row>
      <xdr:rowOff>140369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61A9992C-7280-440D-8CC0-284E18B854EF}"/>
            </a:ext>
          </a:extLst>
        </xdr:cNvPr>
        <xdr:cNvSpPr/>
      </xdr:nvSpPr>
      <xdr:spPr>
        <a:xfrm>
          <a:off x="9762963" y="5624171"/>
          <a:ext cx="81060" cy="74316"/>
        </a:xfrm>
        <a:prstGeom prst="rect">
          <a:avLst/>
        </a:prstGeom>
        <a:solidFill>
          <a:schemeClr val="tx1">
            <a:lumMod val="50000"/>
            <a:lumOff val="50000"/>
            <a:alpha val="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19</xdr:col>
      <xdr:colOff>402533</xdr:colOff>
      <xdr:row>31</xdr:row>
      <xdr:rowOff>65031</xdr:rowOff>
    </xdr:from>
    <xdr:to>
      <xdr:col>19</xdr:col>
      <xdr:colOff>481265</xdr:colOff>
      <xdr:row>31</xdr:row>
      <xdr:rowOff>141391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64B9D4F-71B5-4C67-9245-B77BCC7988DF}"/>
            </a:ext>
          </a:extLst>
        </xdr:cNvPr>
        <xdr:cNvSpPr/>
      </xdr:nvSpPr>
      <xdr:spPr>
        <a:xfrm>
          <a:off x="11975408" y="5737419"/>
          <a:ext cx="78732" cy="76360"/>
        </a:xfrm>
        <a:prstGeom prst="rect">
          <a:avLst/>
        </a:prstGeom>
        <a:solidFill>
          <a:schemeClr val="bg1">
            <a:lumMod val="65000"/>
            <a:alpha val="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15</xdr:col>
      <xdr:colOff>592477</xdr:colOff>
      <xdr:row>30</xdr:row>
      <xdr:rowOff>147330</xdr:rowOff>
    </xdr:from>
    <xdr:to>
      <xdr:col>19</xdr:col>
      <xdr:colOff>446171</xdr:colOff>
      <xdr:row>32</xdr:row>
      <xdr:rowOff>4620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2326431-83A2-44F6-BB95-CE6C9EDEDC87}"/>
            </a:ext>
          </a:extLst>
        </xdr:cNvPr>
        <xdr:cNvSpPr txBox="1"/>
      </xdr:nvSpPr>
      <xdr:spPr>
        <a:xfrm>
          <a:off x="9781301" y="5526154"/>
          <a:ext cx="2304046" cy="2158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Flood change since start of data (%)</a:t>
          </a:r>
        </a:p>
      </xdr:txBody>
    </xdr:sp>
    <xdr:clientData/>
  </xdr:twoCellAnchor>
  <xdr:twoCellAnchor>
    <xdr:from>
      <xdr:col>19</xdr:col>
      <xdr:colOff>424035</xdr:colOff>
      <xdr:row>30</xdr:row>
      <xdr:rowOff>147330</xdr:rowOff>
    </xdr:from>
    <xdr:to>
      <xdr:col>23</xdr:col>
      <xdr:colOff>277729</xdr:colOff>
      <xdr:row>32</xdr:row>
      <xdr:rowOff>4620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FEE322C-4C86-4435-B2CD-59D1BA70A103}"/>
            </a:ext>
          </a:extLst>
        </xdr:cNvPr>
        <xdr:cNvSpPr txBox="1"/>
      </xdr:nvSpPr>
      <xdr:spPr>
        <a:xfrm>
          <a:off x="11996910" y="5636738"/>
          <a:ext cx="2290089" cy="22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100"/>
            <a:t>Flow change since start of data (%)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95F5-7F2E-4B42-B937-5F8DA8E2005C}">
  <dimension ref="A1:N17"/>
  <sheetViews>
    <sheetView workbookViewId="0">
      <selection sqref="A1:XFD17"/>
    </sheetView>
  </sheetViews>
  <sheetFormatPr defaultRowHeight="14.4" x14ac:dyDescent="0.3"/>
  <cols>
    <col min="1" max="2" width="12.109375" bestFit="1" customWidth="1"/>
  </cols>
  <sheetData>
    <row r="1" spans="1:14" x14ac:dyDescent="0.3"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5</v>
      </c>
      <c r="I1" t="s">
        <v>11</v>
      </c>
      <c r="J1" t="s">
        <v>9</v>
      </c>
      <c r="K1" t="s">
        <v>14</v>
      </c>
      <c r="L1" t="s">
        <v>10</v>
      </c>
      <c r="M1" t="s">
        <v>13</v>
      </c>
      <c r="N1" t="s">
        <v>6</v>
      </c>
    </row>
    <row r="2" spans="1:14" x14ac:dyDescent="0.3">
      <c r="A2" t="s">
        <v>7</v>
      </c>
      <c r="B2">
        <v>1945</v>
      </c>
      <c r="C2">
        <v>2021</v>
      </c>
      <c r="D2">
        <v>1330.27</v>
      </c>
      <c r="E2">
        <v>339.52</v>
      </c>
      <c r="F2">
        <v>805.15</v>
      </c>
      <c r="G2">
        <v>72.17</v>
      </c>
      <c r="H2">
        <v>18.47</v>
      </c>
      <c r="I2">
        <v>38.270000000000003</v>
      </c>
      <c r="J2">
        <f>(1-(E2/D2))*100</f>
        <v>74.477361738594425</v>
      </c>
      <c r="K2">
        <f>(1-(E2/F2))*100</f>
        <v>57.831459976401909</v>
      </c>
      <c r="L2">
        <f>(1-(H2/G2))*100</f>
        <v>74.407648607454618</v>
      </c>
      <c r="M2">
        <f>(1-(H2/I2))*100</f>
        <v>51.737653514502234</v>
      </c>
      <c r="N2" t="s">
        <v>8</v>
      </c>
    </row>
    <row r="3" spans="1:14" x14ac:dyDescent="0.3">
      <c r="A3" t="s">
        <v>15</v>
      </c>
      <c r="B3">
        <v>1901</v>
      </c>
      <c r="C3">
        <v>2021</v>
      </c>
      <c r="D3">
        <v>28820.39</v>
      </c>
      <c r="E3">
        <v>12195.3</v>
      </c>
      <c r="F3">
        <v>23051.06</v>
      </c>
      <c r="J3">
        <f t="shared" ref="J3:J17" si="0">(1-(E3/D3))*100</f>
        <v>57.685166647640784</v>
      </c>
      <c r="K3">
        <f t="shared" ref="K3:K17" si="1">(1-(E3/F3))*100</f>
        <v>47.094406938336029</v>
      </c>
      <c r="L3" t="e">
        <f t="shared" ref="L3:L17" si="2">(1-(H3/G3))*100</f>
        <v>#DIV/0!</v>
      </c>
      <c r="M3" t="e">
        <f t="shared" ref="M3:M17" si="3">(1-(H3/I3))*100</f>
        <v>#DIV/0!</v>
      </c>
    </row>
    <row r="4" spans="1:14" x14ac:dyDescent="0.3">
      <c r="A4" t="s">
        <v>16</v>
      </c>
      <c r="B4">
        <v>1974</v>
      </c>
      <c r="C4">
        <v>2021</v>
      </c>
      <c r="G4">
        <v>53.92</v>
      </c>
      <c r="H4">
        <v>28.34</v>
      </c>
      <c r="I4">
        <v>53.92</v>
      </c>
      <c r="J4" t="e">
        <f>(1-(H4/D4))*100</f>
        <v>#DIV/0!</v>
      </c>
      <c r="K4" t="e">
        <f>(1-(H4/F4))*100</f>
        <v>#DIV/0!</v>
      </c>
      <c r="L4">
        <f>(1-(H4/G4))*100</f>
        <v>47.440652818991104</v>
      </c>
      <c r="M4">
        <f>(1-(H4/I4))*100</f>
        <v>47.440652818991104</v>
      </c>
      <c r="N4" t="s">
        <v>17</v>
      </c>
    </row>
    <row r="5" spans="1:14" x14ac:dyDescent="0.3">
      <c r="A5" t="s">
        <v>18</v>
      </c>
      <c r="B5">
        <v>1987</v>
      </c>
      <c r="C5">
        <v>2021</v>
      </c>
      <c r="D5">
        <v>21041.9</v>
      </c>
      <c r="E5">
        <v>14287.14</v>
      </c>
      <c r="F5">
        <v>21041.9</v>
      </c>
      <c r="G5">
        <v>38.67</v>
      </c>
      <c r="H5">
        <v>15.2</v>
      </c>
      <c r="I5">
        <v>38.67</v>
      </c>
      <c r="J5">
        <f t="shared" si="0"/>
        <v>32.101473726231958</v>
      </c>
      <c r="K5">
        <f t="shared" si="1"/>
        <v>32.101473726231958</v>
      </c>
      <c r="L5">
        <f t="shared" si="2"/>
        <v>60.69304370312905</v>
      </c>
      <c r="M5">
        <f t="shared" si="3"/>
        <v>60.69304370312905</v>
      </c>
      <c r="N5" t="s">
        <v>19</v>
      </c>
    </row>
    <row r="6" spans="1:14" x14ac:dyDescent="0.3">
      <c r="A6" t="s">
        <v>20</v>
      </c>
      <c r="B6">
        <v>2009</v>
      </c>
      <c r="C6">
        <v>2021</v>
      </c>
      <c r="J6" t="e">
        <f t="shared" si="0"/>
        <v>#DIV/0!</v>
      </c>
      <c r="K6" t="e">
        <f t="shared" si="1"/>
        <v>#DIV/0!</v>
      </c>
      <c r="L6" t="e">
        <f t="shared" si="2"/>
        <v>#DIV/0!</v>
      </c>
      <c r="M6" t="e">
        <f t="shared" si="3"/>
        <v>#DIV/0!</v>
      </c>
      <c r="N6" t="s">
        <v>22</v>
      </c>
    </row>
    <row r="7" spans="1:14" x14ac:dyDescent="0.3">
      <c r="A7" t="s">
        <v>21</v>
      </c>
      <c r="B7">
        <v>1982</v>
      </c>
      <c r="C7">
        <v>2021</v>
      </c>
      <c r="D7">
        <v>496.26</v>
      </c>
      <c r="E7">
        <v>212.23</v>
      </c>
      <c r="F7">
        <v>496.26</v>
      </c>
      <c r="G7">
        <v>82.47</v>
      </c>
      <c r="H7">
        <v>48.27</v>
      </c>
      <c r="I7">
        <v>82.47</v>
      </c>
      <c r="J7">
        <f t="shared" si="0"/>
        <v>57.23411115141257</v>
      </c>
      <c r="K7">
        <f t="shared" si="1"/>
        <v>57.23411115141257</v>
      </c>
      <c r="L7">
        <f t="shared" si="2"/>
        <v>41.469625318297552</v>
      </c>
      <c r="M7">
        <f t="shared" si="3"/>
        <v>41.469625318297552</v>
      </c>
      <c r="N7" t="s">
        <v>17</v>
      </c>
    </row>
    <row r="8" spans="1:14" x14ac:dyDescent="0.3">
      <c r="A8" t="s">
        <v>23</v>
      </c>
      <c r="B8">
        <v>1945</v>
      </c>
      <c r="C8">
        <v>2021</v>
      </c>
      <c r="D8">
        <v>510.26</v>
      </c>
      <c r="E8">
        <v>127.64</v>
      </c>
      <c r="F8">
        <v>305.06</v>
      </c>
      <c r="G8">
        <v>117.43</v>
      </c>
      <c r="H8">
        <v>32.200000000000003</v>
      </c>
      <c r="I8">
        <v>87.61</v>
      </c>
      <c r="J8">
        <f t="shared" si="0"/>
        <v>74.985301610943438</v>
      </c>
      <c r="K8">
        <f t="shared" si="1"/>
        <v>58.159050678555047</v>
      </c>
      <c r="L8">
        <f t="shared" si="2"/>
        <v>72.579409009622751</v>
      </c>
      <c r="M8">
        <f t="shared" si="3"/>
        <v>63.246204771144846</v>
      </c>
      <c r="N8" t="s">
        <v>8</v>
      </c>
    </row>
    <row r="9" spans="1:14" x14ac:dyDescent="0.3">
      <c r="A9" t="s">
        <v>24</v>
      </c>
      <c r="B9">
        <v>1929</v>
      </c>
      <c r="C9">
        <v>2021</v>
      </c>
      <c r="D9">
        <v>1428.93</v>
      </c>
      <c r="E9">
        <v>626.69000000000005</v>
      </c>
      <c r="F9">
        <v>1428.93</v>
      </c>
      <c r="G9">
        <v>6.09</v>
      </c>
      <c r="H9">
        <v>2.5299999999999998</v>
      </c>
      <c r="I9">
        <v>6.09</v>
      </c>
      <c r="J9">
        <f t="shared" si="0"/>
        <v>56.142708180246757</v>
      </c>
      <c r="K9">
        <f t="shared" si="1"/>
        <v>56.142708180246757</v>
      </c>
      <c r="L9">
        <f t="shared" si="2"/>
        <v>58.456486042692937</v>
      </c>
      <c r="M9">
        <f t="shared" si="3"/>
        <v>58.456486042692937</v>
      </c>
      <c r="N9" t="s">
        <v>25</v>
      </c>
    </row>
    <row r="10" spans="1:14" x14ac:dyDescent="0.3">
      <c r="A10" t="s">
        <v>26</v>
      </c>
      <c r="B10">
        <v>1960</v>
      </c>
      <c r="C10">
        <v>2021</v>
      </c>
      <c r="D10">
        <v>27666.74</v>
      </c>
      <c r="E10">
        <v>12005.86</v>
      </c>
      <c r="F10">
        <v>27666.74</v>
      </c>
      <c r="G10">
        <v>27.8</v>
      </c>
      <c r="H10">
        <v>13.93</v>
      </c>
      <c r="I10">
        <v>27.8</v>
      </c>
      <c r="J10">
        <f t="shared" si="0"/>
        <v>56.605440322929269</v>
      </c>
      <c r="K10">
        <f t="shared" si="1"/>
        <v>56.605440322929269</v>
      </c>
      <c r="L10">
        <f t="shared" si="2"/>
        <v>49.892086330935257</v>
      </c>
      <c r="M10">
        <f t="shared" si="3"/>
        <v>49.892086330935257</v>
      </c>
      <c r="N10" t="s">
        <v>27</v>
      </c>
    </row>
    <row r="11" spans="1:14" x14ac:dyDescent="0.3">
      <c r="A11" t="s">
        <v>28</v>
      </c>
      <c r="B11">
        <v>1913</v>
      </c>
      <c r="C11">
        <v>2021</v>
      </c>
      <c r="D11">
        <v>13715.98</v>
      </c>
      <c r="E11">
        <v>8420.32</v>
      </c>
      <c r="F11">
        <v>9259.75</v>
      </c>
      <c r="G11">
        <v>87.13</v>
      </c>
      <c r="H11">
        <v>24.93</v>
      </c>
      <c r="I11">
        <v>40.78</v>
      </c>
      <c r="J11">
        <f t="shared" si="0"/>
        <v>38.609417628197185</v>
      </c>
      <c r="K11">
        <f t="shared" si="1"/>
        <v>9.0653635357326063</v>
      </c>
      <c r="L11">
        <f t="shared" si="2"/>
        <v>71.387581774360157</v>
      </c>
      <c r="M11">
        <f t="shared" si="3"/>
        <v>38.867091711623345</v>
      </c>
    </row>
    <row r="12" spans="1:14" x14ac:dyDescent="0.3">
      <c r="A12" t="s">
        <v>29</v>
      </c>
      <c r="B12">
        <v>1976</v>
      </c>
      <c r="C12">
        <v>2021</v>
      </c>
      <c r="D12">
        <v>2843.33</v>
      </c>
      <c r="E12">
        <v>2034.41</v>
      </c>
      <c r="F12">
        <v>2843.33</v>
      </c>
      <c r="G12">
        <v>29.67</v>
      </c>
      <c r="H12">
        <v>21.25</v>
      </c>
      <c r="I12">
        <v>29.67</v>
      </c>
      <c r="J12">
        <f t="shared" si="0"/>
        <v>28.449740269332079</v>
      </c>
      <c r="K12">
        <f t="shared" si="1"/>
        <v>28.449740269332079</v>
      </c>
      <c r="L12">
        <f t="shared" si="2"/>
        <v>28.378833838894511</v>
      </c>
      <c r="M12">
        <f t="shared" si="3"/>
        <v>28.378833838894511</v>
      </c>
      <c r="N12" t="s">
        <v>30</v>
      </c>
    </row>
    <row r="13" spans="1:14" x14ac:dyDescent="0.3">
      <c r="A13" t="s">
        <v>31</v>
      </c>
      <c r="B13">
        <v>1916</v>
      </c>
      <c r="C13">
        <v>2021</v>
      </c>
      <c r="D13">
        <v>8554.67</v>
      </c>
      <c r="E13">
        <v>6170.24</v>
      </c>
      <c r="F13">
        <v>9951.09</v>
      </c>
      <c r="J13">
        <f t="shared" si="0"/>
        <v>27.872846059520707</v>
      </c>
      <c r="K13">
        <f t="shared" si="1"/>
        <v>37.994330269347373</v>
      </c>
      <c r="L13" t="e">
        <f t="shared" si="2"/>
        <v>#DIV/0!</v>
      </c>
      <c r="M13" t="e">
        <f t="shared" si="3"/>
        <v>#DIV/0!</v>
      </c>
      <c r="N13" t="s">
        <v>32</v>
      </c>
    </row>
    <row r="14" spans="1:14" x14ac:dyDescent="0.3">
      <c r="A14" t="s">
        <v>33</v>
      </c>
      <c r="B14">
        <v>1955</v>
      </c>
      <c r="C14">
        <v>2021</v>
      </c>
      <c r="D14">
        <v>1455.32</v>
      </c>
      <c r="E14">
        <v>460</v>
      </c>
      <c r="F14">
        <v>1455.32</v>
      </c>
      <c r="G14">
        <v>160.38999999999999</v>
      </c>
      <c r="H14">
        <v>66.03</v>
      </c>
      <c r="I14">
        <v>160.38999999999999</v>
      </c>
      <c r="J14">
        <f t="shared" si="0"/>
        <v>68.391831349806225</v>
      </c>
      <c r="K14">
        <f t="shared" si="1"/>
        <v>68.391831349806225</v>
      </c>
      <c r="L14">
        <f t="shared" si="2"/>
        <v>58.831597979923934</v>
      </c>
      <c r="M14">
        <f t="shared" si="3"/>
        <v>58.831597979923934</v>
      </c>
      <c r="N14" t="s">
        <v>34</v>
      </c>
    </row>
    <row r="15" spans="1:14" x14ac:dyDescent="0.3">
      <c r="A15" t="s">
        <v>35</v>
      </c>
      <c r="B15">
        <v>1976</v>
      </c>
      <c r="C15">
        <v>2021</v>
      </c>
      <c r="D15">
        <v>1246.4000000000001</v>
      </c>
      <c r="E15">
        <v>908.09</v>
      </c>
      <c r="F15">
        <v>1246.4000000000001</v>
      </c>
      <c r="G15">
        <v>14.53</v>
      </c>
      <c r="H15">
        <v>11.93</v>
      </c>
      <c r="I15">
        <v>14.53</v>
      </c>
      <c r="J15">
        <f t="shared" si="0"/>
        <v>27.142971758664956</v>
      </c>
      <c r="K15">
        <f t="shared" si="1"/>
        <v>27.142971758664956</v>
      </c>
      <c r="L15">
        <f t="shared" si="2"/>
        <v>17.894012388162416</v>
      </c>
      <c r="M15">
        <f t="shared" si="3"/>
        <v>17.894012388162416</v>
      </c>
      <c r="N15" t="s">
        <v>17</v>
      </c>
    </row>
    <row r="16" spans="1:14" x14ac:dyDescent="0.3">
      <c r="A16" t="s">
        <v>36</v>
      </c>
      <c r="B16">
        <v>1993</v>
      </c>
      <c r="C16">
        <v>2021</v>
      </c>
      <c r="D16">
        <v>454.02</v>
      </c>
      <c r="E16">
        <v>614.88</v>
      </c>
      <c r="F16">
        <v>454.02</v>
      </c>
      <c r="G16">
        <v>2.5</v>
      </c>
      <c r="H16">
        <v>3.13</v>
      </c>
      <c r="I16">
        <v>2.5</v>
      </c>
      <c r="J16">
        <f t="shared" si="0"/>
        <v>-35.430157261794633</v>
      </c>
      <c r="K16">
        <f t="shared" si="1"/>
        <v>-35.430157261794633</v>
      </c>
      <c r="L16">
        <f t="shared" si="2"/>
        <v>-25.2</v>
      </c>
      <c r="M16">
        <f t="shared" si="3"/>
        <v>-25.2</v>
      </c>
      <c r="N16" t="s">
        <v>37</v>
      </c>
    </row>
    <row r="17" spans="1:14" x14ac:dyDescent="0.3">
      <c r="A17" t="s">
        <v>38</v>
      </c>
      <c r="B17">
        <v>1968</v>
      </c>
      <c r="C17">
        <v>2021</v>
      </c>
      <c r="D17">
        <v>3880.61</v>
      </c>
      <c r="E17">
        <v>4455.0200000000004</v>
      </c>
      <c r="F17">
        <v>3880.61</v>
      </c>
      <c r="J17">
        <f t="shared" si="0"/>
        <v>-14.802054316202874</v>
      </c>
      <c r="K17">
        <f t="shared" si="1"/>
        <v>-14.802054316202874</v>
      </c>
      <c r="L17" t="e">
        <f t="shared" si="2"/>
        <v>#DIV/0!</v>
      </c>
      <c r="M17" t="e">
        <f t="shared" si="3"/>
        <v>#DIV/0!</v>
      </c>
      <c r="N17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999C-E562-490E-BF8E-4A8F968059D6}">
  <dimension ref="A1:H30"/>
  <sheetViews>
    <sheetView tabSelected="1" topLeftCell="K28" zoomScale="126" zoomScaleNormal="126" workbookViewId="0">
      <selection activeCell="M53" sqref="M53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9</v>
      </c>
      <c r="E1" t="s">
        <v>14</v>
      </c>
      <c r="F1" t="s">
        <v>10</v>
      </c>
      <c r="G1" t="s">
        <v>13</v>
      </c>
      <c r="H1" t="s">
        <v>6</v>
      </c>
    </row>
    <row r="2" spans="1:8" x14ac:dyDescent="0.3">
      <c r="A2" t="s">
        <v>7</v>
      </c>
      <c r="B2">
        <v>1945</v>
      </c>
      <c r="C2">
        <v>2021</v>
      </c>
      <c r="D2">
        <v>74.477361738594425</v>
      </c>
      <c r="E2">
        <v>57.831459976401909</v>
      </c>
      <c r="F2">
        <v>74.407648607454618</v>
      </c>
      <c r="G2">
        <v>51.737653514502234</v>
      </c>
      <c r="H2" t="s">
        <v>8</v>
      </c>
    </row>
    <row r="3" spans="1:8" x14ac:dyDescent="0.3">
      <c r="A3" t="s">
        <v>15</v>
      </c>
      <c r="B3">
        <v>1901</v>
      </c>
      <c r="C3">
        <v>2021</v>
      </c>
      <c r="D3">
        <v>57.685166647640784</v>
      </c>
      <c r="E3">
        <v>47.094406938336029</v>
      </c>
    </row>
    <row r="4" spans="1:8" x14ac:dyDescent="0.3">
      <c r="A4" t="s">
        <v>16</v>
      </c>
      <c r="B4">
        <v>1974</v>
      </c>
      <c r="C4">
        <v>2021</v>
      </c>
      <c r="F4">
        <v>47.440652818991104</v>
      </c>
      <c r="G4">
        <v>47.440652818991104</v>
      </c>
      <c r="H4" t="s">
        <v>17</v>
      </c>
    </row>
    <row r="5" spans="1:8" x14ac:dyDescent="0.3">
      <c r="A5" t="s">
        <v>18</v>
      </c>
      <c r="B5">
        <v>1987</v>
      </c>
      <c r="C5">
        <v>2021</v>
      </c>
      <c r="D5">
        <v>32.101473726231958</v>
      </c>
      <c r="E5">
        <v>32.101473726231958</v>
      </c>
      <c r="F5">
        <v>60.69304370312905</v>
      </c>
      <c r="G5">
        <v>60.69304370312905</v>
      </c>
      <c r="H5" t="s">
        <v>19</v>
      </c>
    </row>
    <row r="6" spans="1:8" x14ac:dyDescent="0.3">
      <c r="A6" t="s">
        <v>20</v>
      </c>
      <c r="B6">
        <v>2009</v>
      </c>
      <c r="C6">
        <v>2021</v>
      </c>
      <c r="H6" t="s">
        <v>22</v>
      </c>
    </row>
    <row r="7" spans="1:8" x14ac:dyDescent="0.3">
      <c r="A7" t="s">
        <v>21</v>
      </c>
      <c r="B7">
        <v>1982</v>
      </c>
      <c r="C7">
        <v>2021</v>
      </c>
      <c r="D7">
        <v>57.23411115141257</v>
      </c>
      <c r="E7">
        <v>57.23411115141257</v>
      </c>
      <c r="F7">
        <v>41.469625318297552</v>
      </c>
      <c r="G7">
        <v>41.469625318297552</v>
      </c>
      <c r="H7" t="s">
        <v>17</v>
      </c>
    </row>
    <row r="8" spans="1:8" x14ac:dyDescent="0.3">
      <c r="A8" t="s">
        <v>23</v>
      </c>
      <c r="B8">
        <v>1945</v>
      </c>
      <c r="C8">
        <v>2021</v>
      </c>
      <c r="D8">
        <v>74.985301610943438</v>
      </c>
      <c r="E8">
        <v>58.159050678555047</v>
      </c>
      <c r="F8">
        <v>72.579409009622751</v>
      </c>
      <c r="G8">
        <v>63.246204771144846</v>
      </c>
      <c r="H8" t="s">
        <v>8</v>
      </c>
    </row>
    <row r="9" spans="1:8" x14ac:dyDescent="0.3">
      <c r="A9" t="s">
        <v>24</v>
      </c>
      <c r="B9">
        <v>1929</v>
      </c>
      <c r="C9">
        <v>2021</v>
      </c>
      <c r="D9">
        <v>56.142708180246757</v>
      </c>
      <c r="E9">
        <v>56.142708180246757</v>
      </c>
      <c r="F9">
        <v>58.456486042692937</v>
      </c>
      <c r="G9">
        <v>58.456486042692937</v>
      </c>
      <c r="H9" t="s">
        <v>25</v>
      </c>
    </row>
    <row r="10" spans="1:8" x14ac:dyDescent="0.3">
      <c r="A10" t="s">
        <v>26</v>
      </c>
      <c r="B10">
        <v>1960</v>
      </c>
      <c r="C10">
        <v>2021</v>
      </c>
      <c r="D10">
        <v>56.605440322929269</v>
      </c>
      <c r="E10">
        <v>56.605440322929269</v>
      </c>
      <c r="F10">
        <v>49.892086330935257</v>
      </c>
      <c r="G10">
        <v>49.892086330935257</v>
      </c>
      <c r="H10" t="s">
        <v>27</v>
      </c>
    </row>
    <row r="11" spans="1:8" x14ac:dyDescent="0.3">
      <c r="A11" t="s">
        <v>28</v>
      </c>
      <c r="B11">
        <v>1913</v>
      </c>
      <c r="C11">
        <v>2021</v>
      </c>
      <c r="D11">
        <v>38.609417628197185</v>
      </c>
      <c r="E11">
        <v>9.0653635357326063</v>
      </c>
      <c r="F11">
        <v>71.387581774360157</v>
      </c>
      <c r="G11">
        <v>38.867091711623345</v>
      </c>
    </row>
    <row r="12" spans="1:8" x14ac:dyDescent="0.3">
      <c r="A12" t="s">
        <v>29</v>
      </c>
      <c r="B12">
        <v>1976</v>
      </c>
      <c r="C12">
        <v>2021</v>
      </c>
      <c r="D12">
        <v>28.449740269332079</v>
      </c>
      <c r="E12">
        <v>28.449740269332079</v>
      </c>
      <c r="F12">
        <v>28.378833838894511</v>
      </c>
      <c r="G12">
        <v>28.378833838894511</v>
      </c>
      <c r="H12" t="s">
        <v>30</v>
      </c>
    </row>
    <row r="13" spans="1:8" x14ac:dyDescent="0.3">
      <c r="A13" t="s">
        <v>31</v>
      </c>
      <c r="B13">
        <v>1916</v>
      </c>
      <c r="C13">
        <v>2021</v>
      </c>
      <c r="D13">
        <v>27.872846059520707</v>
      </c>
      <c r="E13">
        <v>37.994330269347373</v>
      </c>
      <c r="H13" t="s">
        <v>32</v>
      </c>
    </row>
    <row r="14" spans="1:8" x14ac:dyDescent="0.3">
      <c r="A14" t="s">
        <v>33</v>
      </c>
      <c r="B14">
        <v>1955</v>
      </c>
      <c r="C14">
        <v>2021</v>
      </c>
      <c r="D14">
        <v>68.391831349806225</v>
      </c>
      <c r="E14">
        <v>68.391831349806225</v>
      </c>
      <c r="F14">
        <v>58.831597979923934</v>
      </c>
      <c r="G14">
        <v>58.831597979923934</v>
      </c>
      <c r="H14" t="s">
        <v>34</v>
      </c>
    </row>
    <row r="15" spans="1:8" x14ac:dyDescent="0.3">
      <c r="A15" t="s">
        <v>35</v>
      </c>
      <c r="B15">
        <v>1976</v>
      </c>
      <c r="C15">
        <v>2021</v>
      </c>
      <c r="D15">
        <v>27.142971758664956</v>
      </c>
      <c r="E15">
        <v>27.142971758664956</v>
      </c>
      <c r="F15">
        <v>17.894012388162416</v>
      </c>
      <c r="G15">
        <v>17.894012388162416</v>
      </c>
      <c r="H15" t="s">
        <v>17</v>
      </c>
    </row>
    <row r="16" spans="1:8" x14ac:dyDescent="0.3">
      <c r="A16" t="s">
        <v>36</v>
      </c>
      <c r="B16">
        <v>1993</v>
      </c>
      <c r="C16">
        <v>2021</v>
      </c>
      <c r="D16">
        <v>-35.430157261794633</v>
      </c>
      <c r="E16">
        <v>-35.430157261794633</v>
      </c>
      <c r="F16">
        <v>-25.2</v>
      </c>
      <c r="G16">
        <v>-25.2</v>
      </c>
      <c r="H16" t="s">
        <v>37</v>
      </c>
    </row>
    <row r="17" spans="1:8" x14ac:dyDescent="0.3">
      <c r="A17" t="s">
        <v>38</v>
      </c>
      <c r="B17">
        <v>1968</v>
      </c>
      <c r="C17">
        <v>2021</v>
      </c>
      <c r="D17">
        <v>-14.802054316202874</v>
      </c>
      <c r="E17">
        <v>-14.802054316202874</v>
      </c>
      <c r="H17" t="s">
        <v>39</v>
      </c>
    </row>
    <row r="19" spans="1:8" x14ac:dyDescent="0.3">
      <c r="A19" t="s">
        <v>40</v>
      </c>
      <c r="B19" t="s">
        <v>52</v>
      </c>
      <c r="C19" t="s">
        <v>53</v>
      </c>
      <c r="D19" t="s">
        <v>41</v>
      </c>
      <c r="E19" t="s">
        <v>42</v>
      </c>
    </row>
    <row r="20" spans="1:8" x14ac:dyDescent="0.3">
      <c r="A20" t="s">
        <v>45</v>
      </c>
      <c r="B20">
        <v>-58</v>
      </c>
      <c r="C20">
        <v>-75</v>
      </c>
      <c r="D20">
        <v>-63</v>
      </c>
      <c r="E20">
        <v>-73</v>
      </c>
    </row>
    <row r="21" spans="1:8" x14ac:dyDescent="0.3">
      <c r="A21" t="s">
        <v>46</v>
      </c>
      <c r="B21">
        <v>-58</v>
      </c>
      <c r="C21">
        <v>-74</v>
      </c>
      <c r="D21">
        <v>-52</v>
      </c>
      <c r="E21">
        <v>-74</v>
      </c>
    </row>
    <row r="22" spans="1:8" x14ac:dyDescent="0.3">
      <c r="A22" t="s">
        <v>44</v>
      </c>
      <c r="B22">
        <v>-68</v>
      </c>
      <c r="C22">
        <v>-68</v>
      </c>
      <c r="D22">
        <v>-59</v>
      </c>
      <c r="E22">
        <v>-59</v>
      </c>
    </row>
    <row r="23" spans="1:8" x14ac:dyDescent="0.3">
      <c r="A23" t="s">
        <v>47</v>
      </c>
      <c r="B23">
        <v>-47</v>
      </c>
      <c r="C23">
        <v>-58</v>
      </c>
      <c r="D23">
        <v>-54</v>
      </c>
      <c r="E23">
        <v>-54</v>
      </c>
    </row>
    <row r="24" spans="1:8" x14ac:dyDescent="0.3">
      <c r="A24" t="s">
        <v>48</v>
      </c>
      <c r="B24">
        <v>-57</v>
      </c>
      <c r="C24">
        <v>-57</v>
      </c>
      <c r="D24">
        <v>-50</v>
      </c>
      <c r="E24">
        <v>-71</v>
      </c>
      <c r="F24" t="s">
        <v>54</v>
      </c>
    </row>
    <row r="25" spans="1:8" x14ac:dyDescent="0.3">
      <c r="A25" t="s">
        <v>43</v>
      </c>
      <c r="B25">
        <v>-56</v>
      </c>
      <c r="C25">
        <v>-56</v>
      </c>
      <c r="D25">
        <v>-58</v>
      </c>
      <c r="E25">
        <v>-58</v>
      </c>
      <c r="F25" t="s">
        <v>55</v>
      </c>
    </row>
    <row r="26" spans="1:8" x14ac:dyDescent="0.3">
      <c r="A26" t="s">
        <v>49</v>
      </c>
      <c r="B26">
        <v>-28</v>
      </c>
      <c r="C26">
        <v>-28</v>
      </c>
      <c r="D26">
        <v>-28</v>
      </c>
      <c r="E26">
        <v>-28</v>
      </c>
      <c r="F26" t="s">
        <v>56</v>
      </c>
    </row>
    <row r="27" spans="1:8" x14ac:dyDescent="0.3">
      <c r="A27" t="s">
        <v>50</v>
      </c>
      <c r="B27">
        <v>-27</v>
      </c>
      <c r="C27">
        <v>-27</v>
      </c>
      <c r="D27">
        <v>-18</v>
      </c>
      <c r="E27">
        <v>-18</v>
      </c>
    </row>
    <row r="28" spans="1:8" x14ac:dyDescent="0.3">
      <c r="A28" t="s">
        <v>51</v>
      </c>
      <c r="B28">
        <v>15</v>
      </c>
      <c r="C28">
        <v>15</v>
      </c>
      <c r="D28">
        <v>25</v>
      </c>
      <c r="E28">
        <v>25</v>
      </c>
      <c r="F28" t="s">
        <v>57</v>
      </c>
    </row>
    <row r="30" spans="1:8" x14ac:dyDescent="0.3">
      <c r="A30" t="s">
        <v>58</v>
      </c>
      <c r="B30">
        <f>AVERAGE(B20:B28)</f>
        <v>-42.666666666666664</v>
      </c>
      <c r="C30">
        <f t="shared" ref="C30:E30" si="0">AVERAGE(C20:C28)</f>
        <v>-47.555555555555557</v>
      </c>
      <c r="D30">
        <f t="shared" si="0"/>
        <v>-39.666666666666664</v>
      </c>
      <c r="E30">
        <f t="shared" si="0"/>
        <v>-45.555555555555557</v>
      </c>
    </row>
  </sheetData>
  <sortState xmlns:xlrd2="http://schemas.microsoft.com/office/spreadsheetml/2017/richdata2" ref="A20:E28">
    <sortCondition ref="C20:C2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5DC22-13BA-438C-9CCD-B8B2CCA5C8E6}">
  <dimension ref="A1:D37"/>
  <sheetViews>
    <sheetView workbookViewId="0">
      <selection activeCell="E19" sqref="E19"/>
    </sheetView>
  </sheetViews>
  <sheetFormatPr defaultRowHeight="14.4" x14ac:dyDescent="0.3"/>
  <sheetData>
    <row r="1" spans="1:4" x14ac:dyDescent="0.3">
      <c r="A1" t="s">
        <v>40</v>
      </c>
      <c r="B1" t="s">
        <v>59</v>
      </c>
      <c r="C1" t="s">
        <v>60</v>
      </c>
      <c r="D1" t="s">
        <v>61</v>
      </c>
    </row>
    <row r="2" spans="1:4" x14ac:dyDescent="0.3">
      <c r="A2" t="s">
        <v>45</v>
      </c>
      <c r="B2">
        <v>-75</v>
      </c>
      <c r="C2" t="s">
        <v>63</v>
      </c>
      <c r="D2" t="s">
        <v>62</v>
      </c>
    </row>
    <row r="3" spans="1:4" x14ac:dyDescent="0.3">
      <c r="A3" t="s">
        <v>46</v>
      </c>
      <c r="B3">
        <v>-74</v>
      </c>
      <c r="C3" t="s">
        <v>63</v>
      </c>
      <c r="D3" t="s">
        <v>62</v>
      </c>
    </row>
    <row r="4" spans="1:4" x14ac:dyDescent="0.3">
      <c r="A4" t="s">
        <v>44</v>
      </c>
      <c r="B4">
        <v>-68</v>
      </c>
      <c r="C4" t="s">
        <v>63</v>
      </c>
      <c r="D4" t="s">
        <v>62</v>
      </c>
    </row>
    <row r="5" spans="1:4" x14ac:dyDescent="0.3">
      <c r="A5" t="s">
        <v>47</v>
      </c>
      <c r="B5">
        <v>-58</v>
      </c>
      <c r="C5" t="s">
        <v>63</v>
      </c>
      <c r="D5" t="s">
        <v>62</v>
      </c>
    </row>
    <row r="6" spans="1:4" x14ac:dyDescent="0.3">
      <c r="A6" t="s">
        <v>48</v>
      </c>
      <c r="B6">
        <v>-57</v>
      </c>
      <c r="C6" t="s">
        <v>63</v>
      </c>
      <c r="D6" t="s">
        <v>62</v>
      </c>
    </row>
    <row r="7" spans="1:4" x14ac:dyDescent="0.3">
      <c r="A7" t="s">
        <v>43</v>
      </c>
      <c r="B7">
        <v>-56</v>
      </c>
      <c r="C7" t="s">
        <v>63</v>
      </c>
      <c r="D7" t="s">
        <v>62</v>
      </c>
    </row>
    <row r="8" spans="1:4" x14ac:dyDescent="0.3">
      <c r="A8" t="s">
        <v>49</v>
      </c>
      <c r="B8">
        <v>-28</v>
      </c>
      <c r="C8" t="s">
        <v>63</v>
      </c>
      <c r="D8" t="s">
        <v>62</v>
      </c>
    </row>
    <row r="9" spans="1:4" x14ac:dyDescent="0.3">
      <c r="A9" t="s">
        <v>50</v>
      </c>
      <c r="B9">
        <v>-27</v>
      </c>
      <c r="C9" t="s">
        <v>63</v>
      </c>
      <c r="D9" t="s">
        <v>62</v>
      </c>
    </row>
    <row r="10" spans="1:4" x14ac:dyDescent="0.3">
      <c r="A10" t="s">
        <v>51</v>
      </c>
      <c r="B10">
        <v>15</v>
      </c>
      <c r="C10" t="s">
        <v>63</v>
      </c>
      <c r="D10" t="s">
        <v>62</v>
      </c>
    </row>
    <row r="11" spans="1:4" x14ac:dyDescent="0.3">
      <c r="A11" t="s">
        <v>45</v>
      </c>
      <c r="B11">
        <v>-58</v>
      </c>
      <c r="C11" t="s">
        <v>63</v>
      </c>
      <c r="D11" t="s">
        <v>64</v>
      </c>
    </row>
    <row r="12" spans="1:4" x14ac:dyDescent="0.3">
      <c r="A12" t="s">
        <v>46</v>
      </c>
      <c r="B12">
        <v>-58</v>
      </c>
      <c r="C12" t="s">
        <v>63</v>
      </c>
      <c r="D12" t="s">
        <v>64</v>
      </c>
    </row>
    <row r="13" spans="1:4" x14ac:dyDescent="0.3">
      <c r="A13" t="s">
        <v>44</v>
      </c>
      <c r="B13">
        <v>-68</v>
      </c>
      <c r="C13" t="s">
        <v>63</v>
      </c>
      <c r="D13" t="s">
        <v>64</v>
      </c>
    </row>
    <row r="14" spans="1:4" x14ac:dyDescent="0.3">
      <c r="A14" t="s">
        <v>47</v>
      </c>
      <c r="B14">
        <v>-47</v>
      </c>
      <c r="C14" t="s">
        <v>63</v>
      </c>
      <c r="D14" t="s">
        <v>64</v>
      </c>
    </row>
    <row r="15" spans="1:4" x14ac:dyDescent="0.3">
      <c r="A15" t="s">
        <v>48</v>
      </c>
      <c r="B15">
        <v>-57</v>
      </c>
      <c r="C15" t="s">
        <v>63</v>
      </c>
      <c r="D15" t="s">
        <v>64</v>
      </c>
    </row>
    <row r="16" spans="1:4" x14ac:dyDescent="0.3">
      <c r="A16" t="s">
        <v>43</v>
      </c>
      <c r="B16">
        <v>-56</v>
      </c>
      <c r="C16" t="s">
        <v>63</v>
      </c>
      <c r="D16" t="s">
        <v>64</v>
      </c>
    </row>
    <row r="17" spans="1:4" x14ac:dyDescent="0.3">
      <c r="A17" t="s">
        <v>49</v>
      </c>
      <c r="B17">
        <v>-28</v>
      </c>
      <c r="C17" t="s">
        <v>63</v>
      </c>
      <c r="D17" t="s">
        <v>64</v>
      </c>
    </row>
    <row r="18" spans="1:4" x14ac:dyDescent="0.3">
      <c r="A18" t="s">
        <v>50</v>
      </c>
      <c r="B18">
        <v>-27</v>
      </c>
      <c r="C18" t="s">
        <v>63</v>
      </c>
      <c r="D18" t="s">
        <v>64</v>
      </c>
    </row>
    <row r="19" spans="1:4" x14ac:dyDescent="0.3">
      <c r="A19" t="s">
        <v>51</v>
      </c>
      <c r="B19">
        <v>15</v>
      </c>
      <c r="C19" t="s">
        <v>63</v>
      </c>
      <c r="D19" t="s">
        <v>64</v>
      </c>
    </row>
    <row r="20" spans="1:4" x14ac:dyDescent="0.3">
      <c r="A20" t="s">
        <v>45</v>
      </c>
      <c r="B20">
        <v>-73</v>
      </c>
      <c r="C20" t="s">
        <v>65</v>
      </c>
      <c r="D20" t="s">
        <v>62</v>
      </c>
    </row>
    <row r="21" spans="1:4" x14ac:dyDescent="0.3">
      <c r="A21" t="s">
        <v>46</v>
      </c>
      <c r="B21">
        <v>-74</v>
      </c>
      <c r="C21" t="s">
        <v>65</v>
      </c>
      <c r="D21" t="s">
        <v>62</v>
      </c>
    </row>
    <row r="22" spans="1:4" x14ac:dyDescent="0.3">
      <c r="A22" t="s">
        <v>44</v>
      </c>
      <c r="B22">
        <v>-59</v>
      </c>
      <c r="C22" t="s">
        <v>65</v>
      </c>
      <c r="D22" t="s">
        <v>62</v>
      </c>
    </row>
    <row r="23" spans="1:4" x14ac:dyDescent="0.3">
      <c r="A23" t="s">
        <v>47</v>
      </c>
      <c r="B23">
        <v>-54</v>
      </c>
      <c r="C23" t="s">
        <v>65</v>
      </c>
      <c r="D23" t="s">
        <v>62</v>
      </c>
    </row>
    <row r="24" spans="1:4" x14ac:dyDescent="0.3">
      <c r="A24" t="s">
        <v>48</v>
      </c>
      <c r="B24">
        <v>-71</v>
      </c>
      <c r="C24" t="s">
        <v>65</v>
      </c>
      <c r="D24" t="s">
        <v>62</v>
      </c>
    </row>
    <row r="25" spans="1:4" x14ac:dyDescent="0.3">
      <c r="A25" t="s">
        <v>43</v>
      </c>
      <c r="B25">
        <v>-58</v>
      </c>
      <c r="C25" t="s">
        <v>65</v>
      </c>
      <c r="D25" t="s">
        <v>62</v>
      </c>
    </row>
    <row r="26" spans="1:4" x14ac:dyDescent="0.3">
      <c r="A26" t="s">
        <v>49</v>
      </c>
      <c r="B26">
        <v>-28</v>
      </c>
      <c r="C26" t="s">
        <v>65</v>
      </c>
      <c r="D26" t="s">
        <v>62</v>
      </c>
    </row>
    <row r="27" spans="1:4" x14ac:dyDescent="0.3">
      <c r="A27" t="s">
        <v>50</v>
      </c>
      <c r="B27">
        <v>-18</v>
      </c>
      <c r="C27" t="s">
        <v>65</v>
      </c>
      <c r="D27" t="s">
        <v>62</v>
      </c>
    </row>
    <row r="28" spans="1:4" x14ac:dyDescent="0.3">
      <c r="A28" t="s">
        <v>51</v>
      </c>
      <c r="B28">
        <v>25</v>
      </c>
      <c r="C28" t="s">
        <v>65</v>
      </c>
      <c r="D28" t="s">
        <v>62</v>
      </c>
    </row>
    <row r="29" spans="1:4" x14ac:dyDescent="0.3">
      <c r="A29" t="s">
        <v>45</v>
      </c>
      <c r="B29">
        <v>-63</v>
      </c>
      <c r="C29" t="s">
        <v>65</v>
      </c>
      <c r="D29" t="s">
        <v>64</v>
      </c>
    </row>
    <row r="30" spans="1:4" x14ac:dyDescent="0.3">
      <c r="A30" t="s">
        <v>46</v>
      </c>
      <c r="B30">
        <v>-52</v>
      </c>
      <c r="C30" t="s">
        <v>65</v>
      </c>
      <c r="D30" t="s">
        <v>64</v>
      </c>
    </row>
    <row r="31" spans="1:4" x14ac:dyDescent="0.3">
      <c r="A31" t="s">
        <v>44</v>
      </c>
      <c r="B31">
        <v>-59</v>
      </c>
      <c r="C31" t="s">
        <v>65</v>
      </c>
      <c r="D31" t="s">
        <v>64</v>
      </c>
    </row>
    <row r="32" spans="1:4" x14ac:dyDescent="0.3">
      <c r="A32" t="s">
        <v>47</v>
      </c>
      <c r="B32">
        <v>-54</v>
      </c>
      <c r="C32" t="s">
        <v>65</v>
      </c>
      <c r="D32" t="s">
        <v>64</v>
      </c>
    </row>
    <row r="33" spans="1:4" x14ac:dyDescent="0.3">
      <c r="A33" t="s">
        <v>48</v>
      </c>
      <c r="B33">
        <v>-50</v>
      </c>
      <c r="C33" t="s">
        <v>65</v>
      </c>
      <c r="D33" t="s">
        <v>64</v>
      </c>
    </row>
    <row r="34" spans="1:4" x14ac:dyDescent="0.3">
      <c r="A34" t="s">
        <v>43</v>
      </c>
      <c r="B34">
        <v>-58</v>
      </c>
      <c r="C34" t="s">
        <v>65</v>
      </c>
      <c r="D34" t="s">
        <v>64</v>
      </c>
    </row>
    <row r="35" spans="1:4" x14ac:dyDescent="0.3">
      <c r="A35" t="s">
        <v>49</v>
      </c>
      <c r="B35">
        <v>-28</v>
      </c>
      <c r="C35" t="s">
        <v>65</v>
      </c>
      <c r="D35" t="s">
        <v>64</v>
      </c>
    </row>
    <row r="36" spans="1:4" x14ac:dyDescent="0.3">
      <c r="A36" t="s">
        <v>50</v>
      </c>
      <c r="B36">
        <v>-18</v>
      </c>
      <c r="C36" t="s">
        <v>65</v>
      </c>
      <c r="D36" t="s">
        <v>64</v>
      </c>
    </row>
    <row r="37" spans="1:4" x14ac:dyDescent="0.3">
      <c r="A37" t="s">
        <v>51</v>
      </c>
      <c r="B37">
        <v>25</v>
      </c>
      <c r="C37" t="s">
        <v>65</v>
      </c>
      <c r="D3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Lanceman</dc:creator>
  <cp:lastModifiedBy>Dana Lanceman</cp:lastModifiedBy>
  <dcterms:created xsi:type="dcterms:W3CDTF">2021-09-15T03:53:40Z</dcterms:created>
  <dcterms:modified xsi:type="dcterms:W3CDTF">2021-09-20T02:52:55Z</dcterms:modified>
</cp:coreProperties>
</file>