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938" documentId="8_{DA5EBC64-D6EE-4587-932F-E39763AA9FB7}" xr6:coauthVersionLast="47" xr6:coauthVersionMax="47" xr10:uidLastSave="{D0D4968C-2A4D-4D40-99BB-427DE58EB53B}"/>
  <bookViews>
    <workbookView minimized="1" xWindow="60" yWindow="24" windowWidth="17232" windowHeight="11556" activeTab="2" xr2:uid="{9F335763-5C09-48D9-8601-B6DFE4C07C30}"/>
  </bookViews>
  <sheets>
    <sheet name="All_ANAE" sheetId="6" r:id="rId1"/>
    <sheet name="Major_&gt;1%" sheetId="7" r:id="rId2"/>
    <sheet name="Major_&gt;5%" sheetId="8" r:id="rId3"/>
    <sheet name="summary" sheetId="9" r:id="rId4"/>
    <sheet name="state_vege_raw" sheetId="10" r:id="rId5"/>
    <sheet name="state_vege_&gt;0.5%" sheetId="11" r:id="rId6"/>
    <sheet name="state_vege_conglom_1%" sheetId="12" r:id="rId7"/>
    <sheet name="vege_5%" sheetId="13" r:id="rId8"/>
    <sheet name="state_summ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9" l="1"/>
  <c r="C15" i="14"/>
  <c r="D15" i="14"/>
  <c r="E15" i="14"/>
  <c r="F15" i="14"/>
  <c r="G15" i="14"/>
  <c r="H15" i="14"/>
  <c r="I15" i="14"/>
  <c r="J15" i="14"/>
  <c r="K15" i="14"/>
  <c r="B15" i="14"/>
  <c r="H231" i="10"/>
  <c r="H233" i="10"/>
  <c r="H234" i="10"/>
  <c r="H235" i="10"/>
  <c r="H236" i="10"/>
  <c r="H237" i="10"/>
  <c r="H238" i="10"/>
  <c r="H239" i="10"/>
  <c r="H240" i="10"/>
  <c r="H241" i="10"/>
  <c r="H232" i="10"/>
  <c r="H222" i="10"/>
  <c r="H223" i="10"/>
  <c r="H224" i="10"/>
  <c r="H225" i="10"/>
  <c r="H226" i="10"/>
  <c r="H227" i="10"/>
  <c r="H228" i="10"/>
  <c r="H229" i="10"/>
  <c r="H230" i="10"/>
  <c r="H221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176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33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20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88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63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45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2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" i="10"/>
</calcChain>
</file>

<file path=xl/sharedStrings.xml><?xml version="1.0" encoding="utf-8"?>
<sst xmlns="http://schemas.openxmlformats.org/spreadsheetml/2006/main" count="2589" uniqueCount="204">
  <si>
    <t>ANAE_TYPE</t>
  </si>
  <si>
    <t>Wetland</t>
  </si>
  <si>
    <t>count</t>
  </si>
  <si>
    <t>Rp1.4: Permanent lowland stream</t>
  </si>
  <si>
    <t>Yantabulla</t>
  </si>
  <si>
    <t>Pt1.8.2: Temporary shrub swamp</t>
  </si>
  <si>
    <t>Pt1.6.2: Temporary woodland swamp</t>
  </si>
  <si>
    <t>Pps5: Permanent spring</t>
  </si>
  <si>
    <t>Pp4.2: Permanent wetland</t>
  </si>
  <si>
    <t>Lt1.1: Temporary lake</t>
  </si>
  <si>
    <t>Lp1.1: Permanent lake</t>
  </si>
  <si>
    <t>Rt1: Temporary stream</t>
  </si>
  <si>
    <t>Renmark</t>
  </si>
  <si>
    <t>Rp1: Permanent stream</t>
  </si>
  <si>
    <t>Pu1: Unspecified wetland</t>
  </si>
  <si>
    <t>Pt4.1: Floodplain or riparian wetland</t>
  </si>
  <si>
    <t>Pt3.1.2: Clay pan</t>
  </si>
  <si>
    <t>Pt2.3.2: Freshwater meadow</t>
  </si>
  <si>
    <t>Pt2.1.2: Temporary tall emergent marsh</t>
  </si>
  <si>
    <t>Pt1.8.1: Riparian or floodplain shrubland</t>
  </si>
  <si>
    <t>Pt1.7.1: Lignum riparian zone or floodplain</t>
  </si>
  <si>
    <t>Pt1.6.1: Riparian or floodplain woodland</t>
  </si>
  <si>
    <t>Pt1.4.1: River cooba riparian zone or floodplain</t>
  </si>
  <si>
    <t>Pt1.2.1: Black box riparian zone or floodplain</t>
  </si>
  <si>
    <t>Pt1.1.1: River red gum riparian zone or floodplain</t>
  </si>
  <si>
    <t>Pt1: Temporary swamp</t>
  </si>
  <si>
    <t>Psp4: Permanent saline wetland</t>
  </si>
  <si>
    <t>Pp2.1.2: Permanent tall emergent marsh</t>
  </si>
  <si>
    <t>Lst1.1: Temporary saline lake</t>
  </si>
  <si>
    <t>Rt1.4: Temporary lowland stream</t>
  </si>
  <si>
    <t>Paroo_overflow_wetlands</t>
  </si>
  <si>
    <t>Macquarie_marshes</t>
  </si>
  <si>
    <t>Pt4.2: Temporary wetland</t>
  </si>
  <si>
    <t>Pt2.2.2: Temporary sedge/grass/forb marsh</t>
  </si>
  <si>
    <t>Pt1.3.1: Coolibah riparian zone or floodplain</t>
  </si>
  <si>
    <t>Pt1.2.2: Temporary black box swamp</t>
  </si>
  <si>
    <t>Pt1.1.2: Temporary river red gum swamp</t>
  </si>
  <si>
    <t>Pp2.2.2: Permanent sedge/grass/forb marsh</t>
  </si>
  <si>
    <t>Lowbidgee</t>
  </si>
  <si>
    <t>Rp1.3: Permanent low energy upland stream</t>
  </si>
  <si>
    <t>Pt1.7.2: Temporary lignum swamp</t>
  </si>
  <si>
    <t>Pst2.2: Temporary salt marsh</t>
  </si>
  <si>
    <t>Pp2.3.2: Permanent grass marsh</t>
  </si>
  <si>
    <t>Hattah_lakes</t>
  </si>
  <si>
    <t>Rt1.3: Temporary low energy upland stream</t>
  </si>
  <si>
    <t>Rt1.1: Temporary high energy upland stream</t>
  </si>
  <si>
    <t>Rp1.1: Permanent high energy upland stream</t>
  </si>
  <si>
    <t>Pp2.4.2: Permanent forb marsh</t>
  </si>
  <si>
    <t>Gwydir</t>
  </si>
  <si>
    <t>Rp1.2: Permanent transitional zone stream</t>
  </si>
  <si>
    <t>Cumbung</t>
  </si>
  <si>
    <t>Chowilla_Lindsay_Walpolla</t>
  </si>
  <si>
    <t>Rt1.2: Temporary transitional zone stream</t>
  </si>
  <si>
    <t>Booligal</t>
  </si>
  <si>
    <t>area.m2</t>
  </si>
  <si>
    <t>area.ha</t>
  </si>
  <si>
    <t>proportion</t>
  </si>
  <si>
    <t>Other</t>
  </si>
  <si>
    <t xml:space="preserve"> </t>
  </si>
  <si>
    <t>Total wetland area</t>
  </si>
  <si>
    <t>Chowilla-Lindsay-Walpolla</t>
  </si>
  <si>
    <t>Macquarie marshes</t>
  </si>
  <si>
    <t>Hattah lakes</t>
  </si>
  <si>
    <t>Paroo overflow</t>
  </si>
  <si>
    <t>Wetland_ma</t>
  </si>
  <si>
    <t>River Red Gum tall to very tall open forest / woodland wetland on rivers on floodplains mainly in the Darling Riverine Plains Bioregion</t>
  </si>
  <si>
    <t>Water Couch marsh grassland wetland of frequently flooded inland watercourses</t>
  </si>
  <si>
    <t>Coolibah - River Coobah - Lignum woodland wetland of frequently flooded floodplains mainly in the Darling Riverine Plains Bioregion</t>
  </si>
  <si>
    <t>Poplar Box - Coolibah floodplain woodland on light clay soil mainly in the Darling Riverine Plains Bioregion</t>
  </si>
  <si>
    <t>Candidate Native Grasslands</t>
  </si>
  <si>
    <t>Non-Native</t>
  </si>
  <si>
    <t>Belah woodland on alluvial plains and low rises in the central NSW wheatbelt to Pilliga and Liverpool Plains regions</t>
  </si>
  <si>
    <t>Weeping Myall open woodland of the Darling Riverine Plains Bioregion and Brigalow Belt South Bioregion</t>
  </si>
  <si>
    <t>Leopardwood low woodland mainly on clayey soils in the semi-arid zone</t>
  </si>
  <si>
    <t>Derived Copperburr shrubland of the NSW northern inland alluvial floodplains</t>
  </si>
  <si>
    <t>River Coobah swamp wetland on the floodplains of the Darling Riverine Plains Bioregion and Brigalow Belt South Bioregion</t>
  </si>
  <si>
    <t>Permanent and semi-permanent freshwater lakes wetland of the inland slopes and plains</t>
  </si>
  <si>
    <t>Mountain Gum - Blakely's Red Gum open forest on metasediments of the Torrington area of the New England Tableland Bioregion</t>
  </si>
  <si>
    <t>Poplar Box - Belah woodland on clay-loam soils on alluvial plains of north-central NSW</t>
  </si>
  <si>
    <t>Coolibah open woodland wetland with chenopod/grassy ground cover on grey and brown clay floodplains</t>
  </si>
  <si>
    <t>Lignum shrubland wetland on regularly flooded alluvial depressions in the Brigalow Belt South Bioregion and Darling Riverine Plains Bioregion</t>
  </si>
  <si>
    <t>Poplar Box - White Cypress Pine - Wilga - Ironwood shrubby woodland on red sandy-loam soils in the Darling Riverine Plains Bioregion and Brigalow Belt South Bioregion</t>
  </si>
  <si>
    <t>Carbeen +/- Coolibah grassy woodland on floodplain clay loam soil on north-western NSW floodplains, mainly Darling Riverine Plain Bioregion</t>
  </si>
  <si>
    <t>Whitewood low open woodland of the Brigalow Belt South Bioregion and north-eastern Darling Riverine Plains Bioregion</t>
  </si>
  <si>
    <t>Common Reed - Bushy Groundsel aquatic tall reedland grassland wetland of inland river systems</t>
  </si>
  <si>
    <t>Cumbungi rushland wetland of shallow semi-permanent water bodies and inland watercourses</t>
  </si>
  <si>
    <t>Marsh Club-rush very tall sedgeland of inland watercourses</t>
  </si>
  <si>
    <t>Dirty Gum - White Cypress Pine tall woodland of alluvial sand (sand monkeys) in the Darling Riverine Plains Bioregion and Brigalow Belt South Bioregion</t>
  </si>
  <si>
    <t>Slender Saltbush - samphire - copperburr low open shrubland wetland on irregularly inundated floodplains mainly in the Darling Riverine Plains Bioregion and Brigalow Belt South Bioregion</t>
  </si>
  <si>
    <t>Shallow freshwater wetland sedgeland in depressions on floodplains on inland alluvial plains and floodplains</t>
  </si>
  <si>
    <t>Black Box woodland wetland on NSW central and northern floodplains including the Darling Riverine Plains Bioregion and Brigalow Belt South Bioregion.</t>
  </si>
  <si>
    <t>Poplar Box grassy woodland on alluvial clay-loam soils mainly in the temperate (hot summer) climate zone of central NSW (wheatbelt).</t>
  </si>
  <si>
    <t>Carbeen - White Cypress Pine - River Red Gum - bloodwood tall woodland on sandy loam alluvial and eolian soils in the northern Brigalow Belt South Bioregion and Darling Riverine Plains Bioregion</t>
  </si>
  <si>
    <t>Western Rosewood - Wilga - Wild Orange - Belah low woodland of the Brigalow Belt South Bioregion and eastern Darling Riverine Plains Bioregion</t>
  </si>
  <si>
    <t>Eurah shrubland of inland floodplains</t>
  </si>
  <si>
    <t>Not Native</t>
  </si>
  <si>
    <t>Tumbledown Red Gum - Black Cypress Pine - Red Stringybark woodland on rocky hills in the NSW central western slopes</t>
  </si>
  <si>
    <t>River Red Gum grassy chenopod open tall woodland (wetland) on floodplain clay soil of the Darling Riverine Plains Bioregion and western Brigalow Belt South Bioregion</t>
  </si>
  <si>
    <t>Partly derived Windmill Grass - copperburr alluvial plains shrubby grassland of the Darling Riverine Plains Bioregion and Brigalow Belt South Bioregion</t>
  </si>
  <si>
    <t>White Cypress Pine woodland on sandy loams in central NSW wheatbelt</t>
  </si>
  <si>
    <t>Plains Grass grassland on alluvial mainly clay soils in the Riverina Bioregion and NSW South Western Slopes Bioregion</t>
  </si>
  <si>
    <t>Shallow freshwater wetland sedgeland in depressions on floodplains on inland alluivial plains and floodplains</t>
  </si>
  <si>
    <t>Dwyers Red Gum - Quinine Tree open woodland on igneous intrusive hills of the Macquarie River floodplain (NSW)</t>
  </si>
  <si>
    <t>Rats Tail Couch sod grassland wetland of inland floodplains</t>
  </si>
  <si>
    <t>Mixed box eucalypt woodland on low sandy-loam rises on alluvial plains in central western NSW</t>
  </si>
  <si>
    <t>Nitre Goosefoot shrubland wetland on clays of the inland floodplains</t>
  </si>
  <si>
    <t>Slender Saltbush - samphire - copperburr low open shrubland wetland on irreguarly innundated floodplains mainly in the Darling Riverine Plains Bioregion and Brigalow Belt South Bioregion</t>
  </si>
  <si>
    <t>Derived grassland of the NSW South Western Slopes</t>
  </si>
  <si>
    <t>Mitchell Grass grassland - chenopod low open shrubland on floodplains in the semi-arid (hot) and arid zones</t>
  </si>
  <si>
    <t>Poplar Box - Coolabah floodplain woodland on light clay soil mainly in the Darling Riverine Plains Bioregion</t>
  </si>
  <si>
    <t>Old Man Saltbush - mixed chenopod shrubland of the semi-arid hot (persistently dry) and arid climate zones (north-western NSW)</t>
  </si>
  <si>
    <t>Bladder Saltbush chenopod shrubland on alluvial plains mainly in the Darling Riverine Plain Bioregion</t>
  </si>
  <si>
    <t>Chenopod low open shrubland - ephemeral partly derived forbland saline wetland on occasionally flooded pale clay scalds in the NSW North Western Plains</t>
  </si>
  <si>
    <t>Coolabah - River Coobah - Lignum woodland wetland of frequently flooded floodplains mainly in the Darling Riverine Plains Bioregion</t>
  </si>
  <si>
    <t>Coolabah open woodland wetland with chenopod/grassy ground cover on grey and brown clay floodplains</t>
  </si>
  <si>
    <t>Brigalow - Belah open forest / woodland on alluvial often gilgaied clay from Pilliga Scrub to Goondiwindi, Brigalow Belt South Bioregion</t>
  </si>
  <si>
    <t>Western Grey Box tall grassy woodland on alluvial loam and clay soils in the NSW South Western Slopes and Riverina Bioregions</t>
  </si>
  <si>
    <t>Derived tall spear grass grassland on mainly basalt hills of the Liverpool Plains, Liverpool Range and in the upper Hunter Valley (Merriwa district), south-eastern Brigalow Belt South Bioregion</t>
  </si>
  <si>
    <t>Galvanized Burr derived low shrubland of the Brigalow Belt South and Darling Riverine Plains Bioregion</t>
  </si>
  <si>
    <t>River Red Gum-sedge dominated very tall open forest in frequently flooded forest wetland along major rivers and floodplains in south-western NSW</t>
  </si>
  <si>
    <t>River Red Gum - Black Box woodland wetland of the semi-arid (warm) climatic zone (mainly Riverina Bioregion and Murray Darling Depression Bioregion)</t>
  </si>
  <si>
    <t>River Red Gum - Lignum very tall open forest or woodland wetland on floodplains of semi-arid (warm) climate zone (mainly Riverina Bioregion and Murray Darling Depression Bioregion)</t>
  </si>
  <si>
    <t>Black Box - Lignum woodland wetland of the inner floodplains in the semi-arid (warm) climate zone (mainly Riverina Bioregion and Murray Darling Depression Bioregion)</t>
  </si>
  <si>
    <t>Bladder Saltbush shrubland on alluvial plains in the semi-arid (warm) zone including Riverina Bioregion</t>
  </si>
  <si>
    <t>Black Box open woodland wetland with chenopod understorey mainly on the outer floodplains in south-western NSW (mainly Riverina Bioregion and Murray Darling Depression Bioregion)</t>
  </si>
  <si>
    <t>Lignum shrubland wetland of the semi-arid (warm) plains (mainly Riverina Bioregion and Murray Darling Depression Bioregion)</t>
  </si>
  <si>
    <t>Disturbed annual saltbush forbland on clay plains and inundation zones mainly of south-western NSW</t>
  </si>
  <si>
    <t>Canegrass swamp tall grassland wetland of drainage depressions, lakes and pans of the inland plains</t>
  </si>
  <si>
    <t>Black Bluebush low open shrubland of the alluvial plains and sandplains of the arid and semi-arid zones</t>
  </si>
  <si>
    <t>Dillon Bush (Nitre Bush) shrubland of the semi-arid and arid zones</t>
  </si>
  <si>
    <t>Old Man Saltbush shrubland mainly of the semi-arid (warm) climate zone (south western NSW)</t>
  </si>
  <si>
    <t>Cotton Bush open shrubland of the semi-arid (warm) zone</t>
  </si>
  <si>
    <t>Derived corkscrew grass grassland/forbland on sandplains and plains in the semi-arid (warm) climate zone</t>
  </si>
  <si>
    <t>Slender Glasswort low shrubland in saline wetland depressions in the semi-arid and arid climate zones, far western NSW</t>
  </si>
  <si>
    <t>Poplar Box grassy woodland on flats mainly in the Cobar Peneplain Bioregion and Murray Darling Depression Bioregion</t>
  </si>
  <si>
    <t>White Cypress Pine open woodland of sand plains, prior streams and dunes mainly of the semi-arid (warm) climate zone</t>
  </si>
  <si>
    <t>Belah/Black Oak - Western Rosewood - Wilga woodland of central NSW including the Cobar Peneplain Bioregion</t>
  </si>
  <si>
    <t>Black Roly Poly low open shrubland of the Riverina Bioregion and Murray Darling Depression Bioregion</t>
  </si>
  <si>
    <t>River Coobah tall shrubland wetland of the floodplains in the Riverina Bioregion and Murray Darling Depression Bioregion</t>
  </si>
  <si>
    <t>Mallee - Gum Coolabah woodland on red earth flats of the eastern Cobar Peneplain Bioregion</t>
  </si>
  <si>
    <t>Sandplain mallee of central NSW</t>
  </si>
  <si>
    <t>Yarran tall open shrubland of the sandplains and plains of the semi-arid (warm) and arid climate zones</t>
  </si>
  <si>
    <t>Weeping Myall open woodland of the Riverina Bioregion and NSW South Western Slopes Bioregion</t>
  </si>
  <si>
    <t>White Cypress Pine - Poplar Box woodland on footslopes and peneplains mainly in the Cobar Peneplain Bioregion</t>
  </si>
  <si>
    <t>River Red Gum - Warrego Grass - herbaceous riparian tall open forest wetland mainly in the Riverina Bioregion</t>
  </si>
  <si>
    <t>Curly Windmill Grass - speargrass - wallaby grass grassland on alluvial clay and loam on the Hay Plain, Riverina Bioregion</t>
  </si>
  <si>
    <t>Black Oak - Western Rosewood open woodland on deep sandy loams mainly in the Murray Darling Depression Bioregion</t>
  </si>
  <si>
    <t>Gum Coolabah woodland on sedimentary substrates mainly in the Cobar Peneplain Bioregion</t>
  </si>
  <si>
    <t>Poplar Box - Gum Coolabah - White Cypress Pine shrubby woodland mainly in the Cobar Peneplain Bioregion</t>
  </si>
  <si>
    <t>Non Native</t>
  </si>
  <si>
    <t>Derived Giant Redburr low shrubland on alluvial plains of the semi-arid (warm) climate zone</t>
  </si>
  <si>
    <t>Curly Windmill Grass - speargrass - wallaby grass grassland on alluvial clay and loam on the Hay Plain: Riverina Bioregion</t>
  </si>
  <si>
    <t>Riverine Western Grey Box grassy woodland of the semi-arid (warm) climate zone</t>
  </si>
  <si>
    <t>Black Box grassy open woodland wetland of rarely flooded depressions in south western NSW (mainly Riverina Bioregion and Murray Darling Depression Bioregion)</t>
  </si>
  <si>
    <t>White Cypress Pine open woodland of sand plains: prior streams and dunes mainly of the semi-arid (warm) climate zone</t>
  </si>
  <si>
    <t>Canegrass swamp tall grassland wetland of drainage depressions: lakes and pans of the inland plains</t>
  </si>
  <si>
    <t>Forb-rich Speargrass - Windmill Grass - White Top grassland of the Riverina Bioregion</t>
  </si>
  <si>
    <t>Cypress Pine woodland of source-bordering dunes mainly on the Murray and Murrumbidgee River floodplains</t>
  </si>
  <si>
    <t>Shallow marsh wetland of regularly flooded depressions on floodplains mainly in the semi-arid (warm) climatic zone (mainly Riverina Bioregion and Murray Darling Depression Bioregion)</t>
  </si>
  <si>
    <t>Western Grey Box - Poplar Box - White Cypress Pine tall woodland on red loams mainly of the eastern Cobar Peneplain Bioregion</t>
  </si>
  <si>
    <t>Chenopod sandplain mallee woodland/shrubland of the arid and semi-arid (warm) zones</t>
  </si>
  <si>
    <t>River Red Gum herbaceous-grassy very tall open forest wetland on inner floodplains in the lower slopes sub-region of the NSW South Western Slopes Bioregion and the eastern Riverina Bioregion.</t>
  </si>
  <si>
    <t>River Red Gum - wallaby grass tall woodland wetland on the outer River Red Gum zone mainly in the Riverina Bioregion</t>
  </si>
  <si>
    <t>Derived mixed shrubland on loamy-clay soils in the Cobar Peneplain Bioregion</t>
  </si>
  <si>
    <t>Plains Woodlands or Forests</t>
  </si>
  <si>
    <t>Riverine Grassy Woodlands or Forests</t>
  </si>
  <si>
    <t>Mallee</t>
  </si>
  <si>
    <t>Wetlands</t>
  </si>
  <si>
    <t>Riparian Scrubs or Swampy Scrubs and Woodlands</t>
  </si>
  <si>
    <t>Salt-tolerant and/or succulent Shrublands</t>
  </si>
  <si>
    <t>No native vegetation recorded</t>
  </si>
  <si>
    <t>Plains Grasslands and Chenopod Shrublands</t>
  </si>
  <si>
    <t>Not native vegetation</t>
  </si>
  <si>
    <t>Lignum shrubland wetland on floodplains and depressions of the Mulga Lands Bioregion, Channel Country Bioregion in the arid and semi-arid (hot) climate zones</t>
  </si>
  <si>
    <t>Black Box low woodland wetland lining ephemeral watercourses or fringing lakes and clay pans of semi-arid (hot) and arid zones</t>
  </si>
  <si>
    <t>River Red Gum open woodland wetland of intermittent watercourses mainly of the arid climate zone</t>
  </si>
  <si>
    <t>area.km2</t>
  </si>
  <si>
    <t>PCTname/XGROUPNAME</t>
  </si>
  <si>
    <t>NSW/VIC</t>
  </si>
  <si>
    <t>NSW</t>
  </si>
  <si>
    <t>VIC</t>
  </si>
  <si>
    <t>SA</t>
  </si>
  <si>
    <t xml:space="preserve">Black Box woodland wetland  </t>
  </si>
  <si>
    <t>DN</t>
  </si>
  <si>
    <t>sum</t>
  </si>
  <si>
    <t>Saltmarsh vegetation</t>
  </si>
  <si>
    <t>Wetland vegetation</t>
  </si>
  <si>
    <t>Black Box woodland wetland</t>
  </si>
  <si>
    <t>River Red gum tall open forest or woodland wetland</t>
  </si>
  <si>
    <t>River Red Gum - Black Box woodland wetland</t>
  </si>
  <si>
    <t>Lignum shrubland wetland</t>
  </si>
  <si>
    <t>Grassland wetland</t>
  </si>
  <si>
    <t>Canegrass swamp tall grassland wetland</t>
  </si>
  <si>
    <t>Nitre Goosefoot shrubland wetland</t>
  </si>
  <si>
    <t>Shallow freshwater wetland sedgeland</t>
  </si>
  <si>
    <t>Common Reed - Bushy Groundsel aquatic tall reedland grassland wetland</t>
  </si>
  <si>
    <t>River Coobah swamp wetland</t>
  </si>
  <si>
    <t>Permanent and semi-permanent freshwater lakes wetland</t>
  </si>
  <si>
    <t>Coolabah - River Coobah - Lignum woodland wetland</t>
  </si>
  <si>
    <t>Coolabah open woodland wetland</t>
  </si>
  <si>
    <t>Chenopod low open shrubland - ephemeral partly derived forbland saline wetland</t>
  </si>
  <si>
    <t>wetland_prop</t>
  </si>
  <si>
    <t>VegeType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</si>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</sst>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1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2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/>
    <xf numFmtId="0" fontId="0" fillId="0" borderId="2" xfId="0" applyFill="1" applyBorder="1" applyAlignment="1">
      <alignment vertic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88F2-28B3-4D9D-9F4B-07AA146E1543}">
  <dimension ref="A1:F197"/>
  <sheetViews>
    <sheetView workbookViewId="0">
      <selection activeCell="A58" sqref="A58:XFD72"/>
    </sheetView>
  </sheetViews>
  <sheetFormatPr defaultColWidth="41.21875" defaultRowHeight="14.4" x14ac:dyDescent="0.3"/>
  <cols>
    <col min="1" max="1" width="41.5546875" bestFit="1" customWidth="1"/>
    <col min="2" max="2" width="23.5546875" bestFit="1" customWidth="1"/>
    <col min="3" max="3" width="5.6640625" bestFit="1" customWidth="1"/>
    <col min="4" max="4" width="11.5546875" bestFit="1" customWidth="1"/>
    <col min="5" max="5" width="13" customWidth="1"/>
    <col min="6" max="6" width="1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54</v>
      </c>
      <c r="E1" s="2" t="s">
        <v>55</v>
      </c>
      <c r="F1" s="2" t="s">
        <v>56</v>
      </c>
    </row>
    <row r="2" spans="1:6" x14ac:dyDescent="0.3">
      <c r="A2" s="1" t="s">
        <v>42</v>
      </c>
      <c r="B2" s="1" t="s">
        <v>53</v>
      </c>
      <c r="C2" s="1">
        <v>1</v>
      </c>
      <c r="D2" s="1">
        <v>2059.7550000000001</v>
      </c>
      <c r="E2">
        <v>0.20597550000000001</v>
      </c>
      <c r="F2">
        <v>1.0331251559978241E-4</v>
      </c>
    </row>
    <row r="3" spans="1:6" x14ac:dyDescent="0.3">
      <c r="A3" s="1" t="s">
        <v>22</v>
      </c>
      <c r="B3" s="1" t="s">
        <v>53</v>
      </c>
      <c r="C3" s="1">
        <v>1</v>
      </c>
      <c r="D3" s="1">
        <v>32481.530999999999</v>
      </c>
      <c r="E3">
        <v>3.2481530999999997</v>
      </c>
      <c r="F3">
        <v>1.6291979765274587E-3</v>
      </c>
    </row>
    <row r="4" spans="1:6" x14ac:dyDescent="0.3">
      <c r="A4" s="1" t="s">
        <v>39</v>
      </c>
      <c r="B4" s="1" t="s">
        <v>53</v>
      </c>
      <c r="C4" s="1">
        <v>2</v>
      </c>
      <c r="D4" s="1">
        <v>446223.94</v>
      </c>
      <c r="E4">
        <v>44.622394</v>
      </c>
      <c r="F4">
        <v>2.2381554001445012E-2</v>
      </c>
    </row>
    <row r="5" spans="1:6" x14ac:dyDescent="0.3">
      <c r="A5" s="1" t="s">
        <v>33</v>
      </c>
      <c r="B5" s="1" t="s">
        <v>53</v>
      </c>
      <c r="C5" s="1">
        <v>16</v>
      </c>
      <c r="D5" s="1">
        <v>503105.18300000002</v>
      </c>
      <c r="E5">
        <v>50.310518300000005</v>
      </c>
      <c r="F5">
        <v>2.523458472828996E-2</v>
      </c>
    </row>
    <row r="6" spans="1:6" x14ac:dyDescent="0.3">
      <c r="A6" s="1" t="s">
        <v>52</v>
      </c>
      <c r="B6" s="1" t="s">
        <v>53</v>
      </c>
      <c r="C6" s="1">
        <v>1</v>
      </c>
      <c r="D6" s="1">
        <v>681893.174</v>
      </c>
      <c r="E6">
        <v>68.189317399999993</v>
      </c>
      <c r="F6">
        <v>3.4202174130544716E-2</v>
      </c>
    </row>
    <row r="7" spans="1:6" x14ac:dyDescent="0.3">
      <c r="A7" s="1" t="s">
        <v>16</v>
      </c>
      <c r="B7" s="1" t="s">
        <v>53</v>
      </c>
      <c r="C7" s="1">
        <v>11</v>
      </c>
      <c r="D7" s="1">
        <v>688785.20799999905</v>
      </c>
      <c r="E7">
        <v>68.878520799999905</v>
      </c>
      <c r="F7">
        <v>3.4547862511026449E-2</v>
      </c>
    </row>
    <row r="8" spans="1:6" x14ac:dyDescent="0.3">
      <c r="A8" s="1" t="s">
        <v>6</v>
      </c>
      <c r="B8" s="1" t="s">
        <v>53</v>
      </c>
      <c r="C8" s="1">
        <v>11</v>
      </c>
      <c r="D8" s="1">
        <v>966861.44299999997</v>
      </c>
      <c r="E8">
        <v>96.686144299999995</v>
      </c>
      <c r="F8">
        <v>4.8495519084923028E-2</v>
      </c>
    </row>
    <row r="9" spans="1:6" x14ac:dyDescent="0.3">
      <c r="A9" s="1" t="s">
        <v>44</v>
      </c>
      <c r="B9" s="1" t="s">
        <v>53</v>
      </c>
      <c r="C9" s="1">
        <v>8</v>
      </c>
      <c r="D9" s="1">
        <v>1937751.2279999999</v>
      </c>
      <c r="E9">
        <v>193.77512279999999</v>
      </c>
      <c r="F9">
        <v>9.7193090426408724E-2</v>
      </c>
    </row>
    <row r="10" spans="1:6" x14ac:dyDescent="0.3">
      <c r="A10" s="1" t="s">
        <v>36</v>
      </c>
      <c r="B10" s="1" t="s">
        <v>53</v>
      </c>
      <c r="C10" s="1">
        <v>34</v>
      </c>
      <c r="D10" s="1">
        <v>2991153.11199999</v>
      </c>
      <c r="E10">
        <v>299.11531119999898</v>
      </c>
      <c r="F10">
        <v>0.15002927656193901</v>
      </c>
    </row>
    <row r="11" spans="1:6" x14ac:dyDescent="0.3">
      <c r="A11" s="1" t="s">
        <v>8</v>
      </c>
      <c r="B11" s="1" t="s">
        <v>53</v>
      </c>
      <c r="C11" s="1">
        <v>32</v>
      </c>
      <c r="D11" s="1">
        <v>3135395.67</v>
      </c>
      <c r="E11">
        <v>313.53956699999998</v>
      </c>
      <c r="F11">
        <v>0.15726414746820142</v>
      </c>
    </row>
    <row r="12" spans="1:6" x14ac:dyDescent="0.3">
      <c r="A12" s="1" t="s">
        <v>10</v>
      </c>
      <c r="B12" s="1" t="s">
        <v>53</v>
      </c>
      <c r="C12" s="1">
        <v>2</v>
      </c>
      <c r="D12" s="1">
        <v>5416044.7809999902</v>
      </c>
      <c r="E12">
        <v>541.60447809999903</v>
      </c>
      <c r="F12">
        <v>0.27165619742453917</v>
      </c>
    </row>
    <row r="13" spans="1:6" x14ac:dyDescent="0.3">
      <c r="A13" s="1" t="s">
        <v>3</v>
      </c>
      <c r="B13" s="1" t="s">
        <v>53</v>
      </c>
      <c r="C13" s="1">
        <v>107</v>
      </c>
      <c r="D13" s="1">
        <v>11333618.51</v>
      </c>
      <c r="E13">
        <v>1133.3618509999999</v>
      </c>
      <c r="F13">
        <v>0.56846791929931351</v>
      </c>
    </row>
    <row r="14" spans="1:6" x14ac:dyDescent="0.3">
      <c r="A14" s="1" t="s">
        <v>29</v>
      </c>
      <c r="B14" s="1" t="s">
        <v>53</v>
      </c>
      <c r="C14" s="1">
        <v>141</v>
      </c>
      <c r="D14" s="1">
        <v>13773388.863</v>
      </c>
      <c r="E14">
        <v>1377.3388863</v>
      </c>
      <c r="F14">
        <v>0.69084112031312317</v>
      </c>
    </row>
    <row r="15" spans="1:6" x14ac:dyDescent="0.3">
      <c r="A15" s="1" t="s">
        <v>9</v>
      </c>
      <c r="B15" s="1" t="s">
        <v>53</v>
      </c>
      <c r="C15" s="1">
        <v>16</v>
      </c>
      <c r="D15" s="1">
        <v>14873140.5399999</v>
      </c>
      <c r="E15">
        <v>1487.3140539999899</v>
      </c>
      <c r="F15">
        <v>0.74600210416117241</v>
      </c>
    </row>
    <row r="16" spans="1:6" x14ac:dyDescent="0.3">
      <c r="A16" s="1" t="s">
        <v>40</v>
      </c>
      <c r="B16" s="1" t="s">
        <v>53</v>
      </c>
      <c r="C16" s="1">
        <v>23</v>
      </c>
      <c r="D16" s="1">
        <v>19187951.916000001</v>
      </c>
      <c r="E16">
        <v>1918.7951916000002</v>
      </c>
      <c r="F16">
        <v>0.96242299771071071</v>
      </c>
    </row>
    <row r="17" spans="1:6" x14ac:dyDescent="0.3">
      <c r="A17" s="1" t="s">
        <v>17</v>
      </c>
      <c r="B17" s="1" t="s">
        <v>53</v>
      </c>
      <c r="C17" s="1">
        <v>248</v>
      </c>
      <c r="D17" s="1">
        <v>20284706.122000001</v>
      </c>
      <c r="E17">
        <v>2028.4706122000002</v>
      </c>
      <c r="F17">
        <v>1.0174336353916495</v>
      </c>
    </row>
    <row r="18" spans="1:6" x14ac:dyDescent="0.3">
      <c r="A18" s="1" t="s">
        <v>20</v>
      </c>
      <c r="B18" s="1" t="s">
        <v>53</v>
      </c>
      <c r="C18" s="1">
        <v>179</v>
      </c>
      <c r="D18" s="1">
        <v>22601620.096999999</v>
      </c>
      <c r="E18">
        <v>2260.1620097</v>
      </c>
      <c r="F18">
        <v>1.1336446465000296</v>
      </c>
    </row>
    <row r="19" spans="1:6" x14ac:dyDescent="0.3">
      <c r="A19" s="1" t="s">
        <v>5</v>
      </c>
      <c r="B19" s="1" t="s">
        <v>53</v>
      </c>
      <c r="C19" s="1">
        <v>79</v>
      </c>
      <c r="D19" s="1">
        <v>28800400.983999901</v>
      </c>
      <c r="E19">
        <v>2880.0400983999903</v>
      </c>
      <c r="F19">
        <v>1.4445610647574487</v>
      </c>
    </row>
    <row r="20" spans="1:6" x14ac:dyDescent="0.3">
      <c r="A20" s="1" t="s">
        <v>41</v>
      </c>
      <c r="B20" s="1" t="s">
        <v>53</v>
      </c>
      <c r="C20" s="1">
        <v>114</v>
      </c>
      <c r="D20" s="1">
        <v>30008349.884999901</v>
      </c>
      <c r="E20">
        <v>3000.8349884999902</v>
      </c>
      <c r="F20">
        <v>1.5051489694734477</v>
      </c>
    </row>
    <row r="21" spans="1:6" x14ac:dyDescent="0.3">
      <c r="A21" s="1" t="s">
        <v>35</v>
      </c>
      <c r="B21" s="1" t="s">
        <v>53</v>
      </c>
      <c r="C21" s="1">
        <v>87</v>
      </c>
      <c r="D21" s="1">
        <v>37964195.592999898</v>
      </c>
      <c r="E21">
        <v>3796.4195592999899</v>
      </c>
      <c r="F21">
        <v>1.9041956686280614</v>
      </c>
    </row>
    <row r="22" spans="1:6" x14ac:dyDescent="0.3">
      <c r="A22" s="1" t="s">
        <v>24</v>
      </c>
      <c r="B22" s="1" t="s">
        <v>53</v>
      </c>
      <c r="C22" s="1">
        <v>1792</v>
      </c>
      <c r="D22" s="1">
        <v>291282097.72000098</v>
      </c>
      <c r="E22">
        <v>29128.209772000097</v>
      </c>
      <c r="F22">
        <v>14.610031904102646</v>
      </c>
    </row>
    <row r="23" spans="1:6" x14ac:dyDescent="0.3">
      <c r="A23" s="1" t="s">
        <v>23</v>
      </c>
      <c r="B23" s="1" t="s">
        <v>53</v>
      </c>
      <c r="C23" s="1">
        <v>2597</v>
      </c>
      <c r="D23" s="1">
        <v>624731827.13099897</v>
      </c>
      <c r="E23">
        <v>62473.182713099894</v>
      </c>
      <c r="F23">
        <v>31.335094045724805</v>
      </c>
    </row>
    <row r="24" spans="1:6" x14ac:dyDescent="0.3">
      <c r="A24" s="1" t="s">
        <v>19</v>
      </c>
      <c r="B24" s="1" t="s">
        <v>53</v>
      </c>
      <c r="C24" s="1">
        <v>705</v>
      </c>
      <c r="D24" s="1">
        <v>862069895.21000099</v>
      </c>
      <c r="E24">
        <v>86206.989521000098</v>
      </c>
      <c r="F24">
        <v>43.239419007108133</v>
      </c>
    </row>
    <row r="25" spans="1:6" x14ac:dyDescent="0.3">
      <c r="A25" s="1" t="s">
        <v>27</v>
      </c>
      <c r="B25" s="1" t="s">
        <v>51</v>
      </c>
      <c r="C25" s="1">
        <v>1</v>
      </c>
      <c r="D25" s="1">
        <v>2428.828</v>
      </c>
      <c r="E25">
        <v>0.24288280000000001</v>
      </c>
      <c r="F25">
        <v>2.5744326789148547E-4</v>
      </c>
    </row>
    <row r="26" spans="1:6" x14ac:dyDescent="0.3">
      <c r="A26" s="1" t="s">
        <v>44</v>
      </c>
      <c r="B26" s="1" t="s">
        <v>51</v>
      </c>
      <c r="C26" s="1">
        <v>1</v>
      </c>
      <c r="D26" s="1">
        <v>25818.026999999998</v>
      </c>
      <c r="E26">
        <v>2.5818026999999999</v>
      </c>
      <c r="F26">
        <v>2.7365779879804596E-3</v>
      </c>
    </row>
    <row r="27" spans="1:6" x14ac:dyDescent="0.3">
      <c r="A27" s="1" t="s">
        <v>52</v>
      </c>
      <c r="B27" s="1" t="s">
        <v>51</v>
      </c>
      <c r="C27" s="1">
        <v>1</v>
      </c>
      <c r="D27" s="1">
        <v>38822.186999999998</v>
      </c>
      <c r="E27">
        <v>3.8822186999999997</v>
      </c>
      <c r="F27">
        <v>4.114952021293538E-3</v>
      </c>
    </row>
    <row r="28" spans="1:6" x14ac:dyDescent="0.3">
      <c r="A28" s="1" t="s">
        <v>39</v>
      </c>
      <c r="B28" s="1" t="s">
        <v>51</v>
      </c>
      <c r="C28" s="1">
        <v>2</v>
      </c>
      <c r="D28" s="1">
        <v>109500.28599999999</v>
      </c>
      <c r="E28">
        <v>10.9500286</v>
      </c>
      <c r="F28">
        <v>1.1606466766231397E-2</v>
      </c>
    </row>
    <row r="29" spans="1:6" x14ac:dyDescent="0.3">
      <c r="A29" s="1" t="s">
        <v>47</v>
      </c>
      <c r="B29" s="1" t="s">
        <v>51</v>
      </c>
      <c r="C29" s="1">
        <v>12</v>
      </c>
      <c r="D29" s="1">
        <v>331533.728999999</v>
      </c>
      <c r="E29">
        <v>33.153372899999901</v>
      </c>
      <c r="F29">
        <v>3.5140869015842159E-2</v>
      </c>
    </row>
    <row r="30" spans="1:6" x14ac:dyDescent="0.3">
      <c r="A30" s="1" t="s">
        <v>46</v>
      </c>
      <c r="B30" s="1" t="s">
        <v>51</v>
      </c>
      <c r="C30" s="1">
        <v>2</v>
      </c>
      <c r="D30" s="1">
        <v>398331.59600000002</v>
      </c>
      <c r="E30">
        <v>39.833159600000002</v>
      </c>
      <c r="F30">
        <v>4.2221099138626095E-2</v>
      </c>
    </row>
    <row r="31" spans="1:6" x14ac:dyDescent="0.3">
      <c r="A31" s="1" t="s">
        <v>6</v>
      </c>
      <c r="B31" s="1" t="s">
        <v>51</v>
      </c>
      <c r="C31" s="1">
        <v>3</v>
      </c>
      <c r="D31" s="1">
        <v>414914.39399999997</v>
      </c>
      <c r="E31">
        <v>41.491439399999997</v>
      </c>
      <c r="F31">
        <v>4.3978790382264751E-2</v>
      </c>
    </row>
    <row r="32" spans="1:6" x14ac:dyDescent="0.3">
      <c r="A32" s="1" t="s">
        <v>21</v>
      </c>
      <c r="B32" s="1" t="s">
        <v>51</v>
      </c>
      <c r="C32" s="1">
        <v>14</v>
      </c>
      <c r="D32" s="1">
        <v>833956.68299999996</v>
      </c>
      <c r="E32">
        <v>83.395668299999997</v>
      </c>
      <c r="F32">
        <v>8.8395116390071082E-2</v>
      </c>
    </row>
    <row r="33" spans="1:6" x14ac:dyDescent="0.3">
      <c r="A33" s="1" t="s">
        <v>18</v>
      </c>
      <c r="B33" s="1" t="s">
        <v>51</v>
      </c>
      <c r="C33" s="1">
        <v>43</v>
      </c>
      <c r="D33" s="1">
        <v>980213.23199999996</v>
      </c>
      <c r="E33">
        <v>98.021323199999998</v>
      </c>
      <c r="F33">
        <v>0.1038975578659974</v>
      </c>
    </row>
    <row r="34" spans="1:6" x14ac:dyDescent="0.3">
      <c r="A34" s="1" t="s">
        <v>49</v>
      </c>
      <c r="B34" s="1" t="s">
        <v>51</v>
      </c>
      <c r="C34" s="1">
        <v>1</v>
      </c>
      <c r="D34" s="1">
        <v>993138.80099999998</v>
      </c>
      <c r="E34">
        <v>99.313880099999992</v>
      </c>
      <c r="F34">
        <v>0.10526760165778376</v>
      </c>
    </row>
    <row r="35" spans="1:6" x14ac:dyDescent="0.3">
      <c r="A35" s="1" t="s">
        <v>42</v>
      </c>
      <c r="B35" s="1" t="s">
        <v>51</v>
      </c>
      <c r="C35" s="1">
        <v>5</v>
      </c>
      <c r="D35" s="1">
        <v>1091354.98899999</v>
      </c>
      <c r="E35">
        <v>109.13549889999901</v>
      </c>
      <c r="F35">
        <v>0.11567801211029911</v>
      </c>
    </row>
    <row r="36" spans="1:6" x14ac:dyDescent="0.3">
      <c r="A36" s="1" t="s">
        <v>11</v>
      </c>
      <c r="B36" s="1" t="s">
        <v>51</v>
      </c>
      <c r="C36" s="1">
        <v>58</v>
      </c>
      <c r="D36" s="1">
        <v>1189797.986</v>
      </c>
      <c r="E36">
        <v>118.97979860000001</v>
      </c>
      <c r="F36">
        <v>0.12611246314953051</v>
      </c>
    </row>
    <row r="37" spans="1:6" x14ac:dyDescent="0.3">
      <c r="A37" s="1" t="s">
        <v>14</v>
      </c>
      <c r="B37" s="1" t="s">
        <v>51</v>
      </c>
      <c r="C37" s="1">
        <v>13</v>
      </c>
      <c r="D37" s="1">
        <v>1336673.5379999999</v>
      </c>
      <c r="E37">
        <v>133.6673538</v>
      </c>
      <c r="F37">
        <v>0.14168051575772087</v>
      </c>
    </row>
    <row r="38" spans="1:6" x14ac:dyDescent="0.3">
      <c r="A38" s="1" t="s">
        <v>22</v>
      </c>
      <c r="B38" s="1" t="s">
        <v>51</v>
      </c>
      <c r="C38" s="1">
        <v>28</v>
      </c>
      <c r="D38" s="1">
        <v>2271881.1889999998</v>
      </c>
      <c r="E38">
        <v>227.18811889999998</v>
      </c>
      <c r="F38">
        <v>0.24080771366163162</v>
      </c>
    </row>
    <row r="39" spans="1:6" x14ac:dyDescent="0.3">
      <c r="A39" s="1" t="s">
        <v>26</v>
      </c>
      <c r="B39" s="1" t="s">
        <v>51</v>
      </c>
      <c r="C39" s="1">
        <v>9</v>
      </c>
      <c r="D39" s="1">
        <v>3545086.83</v>
      </c>
      <c r="E39">
        <v>354.50868300000002</v>
      </c>
      <c r="F39">
        <v>0.37576095897867895</v>
      </c>
    </row>
    <row r="40" spans="1:6" x14ac:dyDescent="0.3">
      <c r="A40" s="1" t="s">
        <v>35</v>
      </c>
      <c r="B40" s="1" t="s">
        <v>51</v>
      </c>
      <c r="C40" s="1">
        <v>134</v>
      </c>
      <c r="D40" s="1">
        <v>3990700.9819999998</v>
      </c>
      <c r="E40">
        <v>399.07009819999996</v>
      </c>
      <c r="F40">
        <v>0.42299376571080366</v>
      </c>
    </row>
    <row r="41" spans="1:6" x14ac:dyDescent="0.3">
      <c r="A41" s="1" t="s">
        <v>36</v>
      </c>
      <c r="B41" s="1" t="s">
        <v>51</v>
      </c>
      <c r="C41" s="1">
        <v>110</v>
      </c>
      <c r="D41" s="1">
        <v>4897398.5619999999</v>
      </c>
      <c r="E41">
        <v>489.73985620000002</v>
      </c>
      <c r="F41">
        <v>0.51909904281749941</v>
      </c>
    </row>
    <row r="42" spans="1:6" x14ac:dyDescent="0.3">
      <c r="A42" s="1" t="s">
        <v>13</v>
      </c>
      <c r="B42" s="1" t="s">
        <v>51</v>
      </c>
      <c r="C42" s="1">
        <v>86</v>
      </c>
      <c r="D42" s="1">
        <v>5143869.28</v>
      </c>
      <c r="E42">
        <v>514.38692800000001</v>
      </c>
      <c r="F42">
        <v>0.54522367044921349</v>
      </c>
    </row>
    <row r="43" spans="1:6" x14ac:dyDescent="0.3">
      <c r="A43" s="1" t="s">
        <v>9</v>
      </c>
      <c r="B43" s="1" t="s">
        <v>51</v>
      </c>
      <c r="C43" s="1">
        <v>8</v>
      </c>
      <c r="D43" s="1">
        <v>10967058.2289999</v>
      </c>
      <c r="E43">
        <v>1096.7058228999899</v>
      </c>
      <c r="F43">
        <v>1.1624517296531252</v>
      </c>
    </row>
    <row r="44" spans="1:6" x14ac:dyDescent="0.3">
      <c r="A44" s="1" t="s">
        <v>5</v>
      </c>
      <c r="B44" s="1" t="s">
        <v>51</v>
      </c>
      <c r="C44" s="1">
        <v>99</v>
      </c>
      <c r="D44" s="1">
        <v>11539536.164000001</v>
      </c>
      <c r="E44">
        <v>1153.9536164000001</v>
      </c>
      <c r="F44">
        <v>1.2231314444712167</v>
      </c>
    </row>
    <row r="45" spans="1:6" x14ac:dyDescent="0.3">
      <c r="A45" s="1" t="s">
        <v>29</v>
      </c>
      <c r="B45" s="1" t="s">
        <v>51</v>
      </c>
      <c r="C45" s="1">
        <v>258</v>
      </c>
      <c r="D45" s="1">
        <v>11933596.687000001</v>
      </c>
      <c r="E45">
        <v>1193.3596687000002</v>
      </c>
      <c r="F45">
        <v>1.2648998318531754</v>
      </c>
    </row>
    <row r="46" spans="1:6" x14ac:dyDescent="0.3">
      <c r="A46" s="1" t="s">
        <v>25</v>
      </c>
      <c r="B46" s="1" t="s">
        <v>51</v>
      </c>
      <c r="C46" s="1">
        <v>145</v>
      </c>
      <c r="D46" s="1">
        <v>12195450.4339999</v>
      </c>
      <c r="E46">
        <v>1219.5450433999899</v>
      </c>
      <c r="F46">
        <v>1.2926549813892001</v>
      </c>
    </row>
    <row r="47" spans="1:6" x14ac:dyDescent="0.3">
      <c r="A47" s="1" t="s">
        <v>16</v>
      </c>
      <c r="B47" s="1" t="s">
        <v>51</v>
      </c>
      <c r="C47" s="1">
        <v>159</v>
      </c>
      <c r="D47" s="1">
        <v>13720399.272</v>
      </c>
      <c r="E47">
        <v>1372.0399272</v>
      </c>
      <c r="F47">
        <v>1.4542917099768438</v>
      </c>
    </row>
    <row r="48" spans="1:6" x14ac:dyDescent="0.3">
      <c r="A48" s="1" t="s">
        <v>15</v>
      </c>
      <c r="B48" s="1" t="s">
        <v>51</v>
      </c>
      <c r="C48" s="1">
        <v>132</v>
      </c>
      <c r="D48" s="1">
        <v>20445905.350999899</v>
      </c>
      <c r="E48">
        <v>2044.5905350999899</v>
      </c>
      <c r="F48">
        <v>2.1671607411316991</v>
      </c>
    </row>
    <row r="49" spans="1:6" x14ac:dyDescent="0.3">
      <c r="A49" s="1" t="s">
        <v>40</v>
      </c>
      <c r="B49" s="1" t="s">
        <v>51</v>
      </c>
      <c r="C49" s="1">
        <v>144</v>
      </c>
      <c r="D49" s="1">
        <v>27898471.215999998</v>
      </c>
      <c r="E49">
        <v>2789.8471215999998</v>
      </c>
      <c r="F49">
        <v>2.9570943677459183</v>
      </c>
    </row>
    <row r="50" spans="1:6" x14ac:dyDescent="0.3">
      <c r="A50" s="1" t="s">
        <v>19</v>
      </c>
      <c r="B50" s="1" t="s">
        <v>51</v>
      </c>
      <c r="C50" s="1">
        <v>112</v>
      </c>
      <c r="D50" s="1">
        <v>32191010.754999999</v>
      </c>
      <c r="E50">
        <v>3219.1010754999998</v>
      </c>
      <c r="F50">
        <v>3.4120814670685422</v>
      </c>
    </row>
    <row r="51" spans="1:6" x14ac:dyDescent="0.3">
      <c r="A51" s="1" t="s">
        <v>8</v>
      </c>
      <c r="B51" s="1" t="s">
        <v>51</v>
      </c>
      <c r="C51" s="1">
        <v>199</v>
      </c>
      <c r="D51" s="1">
        <v>32752346.589000002</v>
      </c>
      <c r="E51">
        <v>3275.2346589000003</v>
      </c>
      <c r="F51">
        <v>3.4715801765241125</v>
      </c>
    </row>
    <row r="52" spans="1:6" x14ac:dyDescent="0.3">
      <c r="A52" s="1" t="s">
        <v>3</v>
      </c>
      <c r="B52" s="1" t="s">
        <v>51</v>
      </c>
      <c r="C52" s="1">
        <v>732</v>
      </c>
      <c r="D52" s="1">
        <v>52556072.445</v>
      </c>
      <c r="E52">
        <v>5255.6072445</v>
      </c>
      <c r="F52">
        <v>5.5706731962009872</v>
      </c>
    </row>
    <row r="53" spans="1:6" x14ac:dyDescent="0.3">
      <c r="A53" s="1" t="s">
        <v>17</v>
      </c>
      <c r="B53" s="1" t="s">
        <v>51</v>
      </c>
      <c r="C53" s="1">
        <v>429</v>
      </c>
      <c r="D53" s="1">
        <v>68272245.888999999</v>
      </c>
      <c r="E53">
        <v>6827.2245888999996</v>
      </c>
      <c r="F53">
        <v>7.236506697038732</v>
      </c>
    </row>
    <row r="54" spans="1:6" x14ac:dyDescent="0.3">
      <c r="A54" s="1" t="s">
        <v>24</v>
      </c>
      <c r="B54" s="1" t="s">
        <v>51</v>
      </c>
      <c r="C54" s="1">
        <v>728</v>
      </c>
      <c r="D54" s="1">
        <v>109234801.764999</v>
      </c>
      <c r="E54">
        <v>10923.480176499901</v>
      </c>
      <c r="F54">
        <v>11.57832680365178</v>
      </c>
    </row>
    <row r="55" spans="1:6" x14ac:dyDescent="0.3">
      <c r="A55" s="1" t="s">
        <v>10</v>
      </c>
      <c r="B55" s="1" t="s">
        <v>51</v>
      </c>
      <c r="C55" s="1">
        <v>33</v>
      </c>
      <c r="D55" s="1">
        <v>117332856.395</v>
      </c>
      <c r="E55">
        <v>11733.2856395</v>
      </c>
      <c r="F55">
        <v>12.436678917309573</v>
      </c>
    </row>
    <row r="56" spans="1:6" x14ac:dyDescent="0.3">
      <c r="A56" s="1" t="s">
        <v>20</v>
      </c>
      <c r="B56" s="1" t="s">
        <v>51</v>
      </c>
      <c r="C56" s="1">
        <v>736</v>
      </c>
      <c r="D56" s="1">
        <v>123566267.78999899</v>
      </c>
      <c r="E56">
        <v>12356.6267789999</v>
      </c>
      <c r="F56">
        <v>13.097388444555044</v>
      </c>
    </row>
    <row r="57" spans="1:6" x14ac:dyDescent="0.3">
      <c r="A57" s="1" t="s">
        <v>23</v>
      </c>
      <c r="B57" s="1" t="s">
        <v>51</v>
      </c>
      <c r="C57" s="1">
        <v>560</v>
      </c>
      <c r="D57" s="1">
        <v>271240592.73799902</v>
      </c>
      <c r="E57">
        <v>27124.059273799903</v>
      </c>
      <c r="F57">
        <v>28.750106874300684</v>
      </c>
    </row>
    <row r="58" spans="1:6" x14ac:dyDescent="0.3">
      <c r="A58" s="1" t="s">
        <v>8</v>
      </c>
      <c r="B58" s="1" t="s">
        <v>50</v>
      </c>
      <c r="C58" s="1">
        <v>3</v>
      </c>
      <c r="D58" s="1">
        <v>96825.910999999993</v>
      </c>
      <c r="E58">
        <v>9.6825910999999998</v>
      </c>
      <c r="F58">
        <v>2.3738440677871477E-2</v>
      </c>
    </row>
    <row r="59" spans="1:6" x14ac:dyDescent="0.3">
      <c r="A59" s="1" t="s">
        <v>16</v>
      </c>
      <c r="B59" s="1" t="s">
        <v>50</v>
      </c>
      <c r="C59" s="1">
        <v>1</v>
      </c>
      <c r="D59" s="1">
        <v>130631.3</v>
      </c>
      <c r="E59">
        <v>13.063130000000001</v>
      </c>
      <c r="F59">
        <v>3.2026379444271204E-2</v>
      </c>
    </row>
    <row r="60" spans="1:6" x14ac:dyDescent="0.3">
      <c r="A60" s="1" t="s">
        <v>41</v>
      </c>
      <c r="B60" s="1" t="s">
        <v>50</v>
      </c>
      <c r="C60" s="1">
        <v>10</v>
      </c>
      <c r="D60" s="1">
        <v>318175.12300000002</v>
      </c>
      <c r="E60">
        <v>31.817512300000001</v>
      </c>
      <c r="F60">
        <v>7.8005785894541824E-2</v>
      </c>
    </row>
    <row r="61" spans="1:6" x14ac:dyDescent="0.3">
      <c r="A61" s="1" t="s">
        <v>35</v>
      </c>
      <c r="B61" s="1" t="s">
        <v>50</v>
      </c>
      <c r="C61" s="1">
        <v>1</v>
      </c>
      <c r="D61" s="1">
        <v>883995.30900000001</v>
      </c>
      <c r="E61">
        <v>88.399530900000002</v>
      </c>
      <c r="F61">
        <v>0.21672577087566125</v>
      </c>
    </row>
    <row r="62" spans="1:6" x14ac:dyDescent="0.3">
      <c r="A62" s="1" t="s">
        <v>10</v>
      </c>
      <c r="B62" s="1" t="s">
        <v>50</v>
      </c>
      <c r="C62" s="1">
        <v>2</v>
      </c>
      <c r="D62" s="1">
        <v>1775024.7919999999</v>
      </c>
      <c r="E62">
        <v>177.50247919999998</v>
      </c>
      <c r="F62">
        <v>0.43517608346223724</v>
      </c>
    </row>
    <row r="63" spans="1:6" x14ac:dyDescent="0.3">
      <c r="A63" s="1" t="s">
        <v>17</v>
      </c>
      <c r="B63" s="1" t="s">
        <v>50</v>
      </c>
      <c r="C63" s="1">
        <v>58</v>
      </c>
      <c r="D63" s="1">
        <v>3261280.9629999902</v>
      </c>
      <c r="E63">
        <v>326.12809629999902</v>
      </c>
      <c r="F63">
        <v>0.79955586138556278</v>
      </c>
    </row>
    <row r="64" spans="1:6" x14ac:dyDescent="0.3">
      <c r="A64" s="1" t="s">
        <v>33</v>
      </c>
      <c r="B64" s="1" t="s">
        <v>50</v>
      </c>
      <c r="C64" s="1">
        <v>47</v>
      </c>
      <c r="D64" s="1">
        <v>3572769.2749999999</v>
      </c>
      <c r="E64">
        <v>357.2769275</v>
      </c>
      <c r="F64">
        <v>0.87592226723598177</v>
      </c>
    </row>
    <row r="65" spans="1:6" x14ac:dyDescent="0.3">
      <c r="A65" s="1" t="s">
        <v>20</v>
      </c>
      <c r="B65" s="1" t="s">
        <v>50</v>
      </c>
      <c r="C65" s="1">
        <v>56</v>
      </c>
      <c r="D65" s="1">
        <v>3586781.5599999898</v>
      </c>
      <c r="E65">
        <v>358.67815599999898</v>
      </c>
      <c r="F65">
        <v>0.8793576059051289</v>
      </c>
    </row>
    <row r="66" spans="1:6" x14ac:dyDescent="0.3">
      <c r="A66" s="1" t="s">
        <v>36</v>
      </c>
      <c r="B66" s="1" t="s">
        <v>50</v>
      </c>
      <c r="C66" s="1">
        <v>3</v>
      </c>
      <c r="D66" s="1">
        <v>4692458.0269999998</v>
      </c>
      <c r="E66">
        <v>469.24580269999996</v>
      </c>
      <c r="F66">
        <v>1.1504321039369445</v>
      </c>
    </row>
    <row r="67" spans="1:6" x14ac:dyDescent="0.3">
      <c r="A67" s="1" t="s">
        <v>18</v>
      </c>
      <c r="B67" s="1" t="s">
        <v>50</v>
      </c>
      <c r="C67" s="1">
        <v>49</v>
      </c>
      <c r="D67" s="1">
        <v>5604790.1109999996</v>
      </c>
      <c r="E67">
        <v>560.47901109999998</v>
      </c>
      <c r="F67">
        <v>1.3741050942644288</v>
      </c>
    </row>
    <row r="68" spans="1:6" x14ac:dyDescent="0.3">
      <c r="A68" s="1" t="s">
        <v>9</v>
      </c>
      <c r="B68" s="1" t="s">
        <v>50</v>
      </c>
      <c r="C68" s="1">
        <v>5</v>
      </c>
      <c r="D68" s="1">
        <v>5649019.977</v>
      </c>
      <c r="E68">
        <v>564.90199770000004</v>
      </c>
      <c r="F68">
        <v>1.3849487624456787</v>
      </c>
    </row>
    <row r="69" spans="1:6" x14ac:dyDescent="0.3">
      <c r="A69" s="1" t="s">
        <v>19</v>
      </c>
      <c r="B69" s="1" t="s">
        <v>50</v>
      </c>
      <c r="C69" s="1">
        <v>27</v>
      </c>
      <c r="D69" s="1">
        <v>20653218.1509999</v>
      </c>
      <c r="E69">
        <v>2065.3218150999901</v>
      </c>
      <c r="F69">
        <v>5.0634710153633318</v>
      </c>
    </row>
    <row r="70" spans="1:6" x14ac:dyDescent="0.3">
      <c r="A70" s="1" t="s">
        <v>27</v>
      </c>
      <c r="B70" s="1" t="s">
        <v>50</v>
      </c>
      <c r="C70" s="1">
        <v>2</v>
      </c>
      <c r="D70" s="1">
        <v>34490287.237999998</v>
      </c>
      <c r="E70">
        <v>3449.0287237999996</v>
      </c>
      <c r="F70">
        <v>8.4558526649133263</v>
      </c>
    </row>
    <row r="71" spans="1:6" x14ac:dyDescent="0.3">
      <c r="A71" s="1" t="s">
        <v>23</v>
      </c>
      <c r="B71" s="1" t="s">
        <v>50</v>
      </c>
      <c r="C71" s="1">
        <v>428</v>
      </c>
      <c r="D71" s="1">
        <v>105559178.406</v>
      </c>
      <c r="E71">
        <v>10555.917840600001</v>
      </c>
      <c r="F71">
        <v>25.87954266286927</v>
      </c>
    </row>
    <row r="72" spans="1:6" x14ac:dyDescent="0.3">
      <c r="A72" s="1" t="s">
        <v>24</v>
      </c>
      <c r="B72" s="1" t="s">
        <v>50</v>
      </c>
      <c r="C72" s="1">
        <v>392</v>
      </c>
      <c r="D72" s="1">
        <v>217612131.95100001</v>
      </c>
      <c r="E72">
        <v>21761.213195100001</v>
      </c>
      <c r="F72">
        <v>53.351139501325783</v>
      </c>
    </row>
    <row r="73" spans="1:6" x14ac:dyDescent="0.3">
      <c r="A73" s="1" t="s">
        <v>17</v>
      </c>
      <c r="B73" s="1" t="s">
        <v>48</v>
      </c>
      <c r="C73" s="1">
        <v>3</v>
      </c>
      <c r="D73" s="1">
        <v>39701.347000000002</v>
      </c>
      <c r="E73">
        <v>3.9701347</v>
      </c>
      <c r="F73">
        <v>2.5101593302543994E-3</v>
      </c>
    </row>
    <row r="74" spans="1:6" x14ac:dyDescent="0.3">
      <c r="A74" s="1" t="s">
        <v>35</v>
      </c>
      <c r="B74" s="1" t="s">
        <v>48</v>
      </c>
      <c r="C74" s="1">
        <v>2</v>
      </c>
      <c r="D74" s="1">
        <v>56864.152000000002</v>
      </c>
      <c r="E74">
        <v>5.6864151999999999</v>
      </c>
      <c r="F74">
        <v>3.5952956885771247E-3</v>
      </c>
    </row>
    <row r="75" spans="1:6" x14ac:dyDescent="0.3">
      <c r="A75" s="1" t="s">
        <v>49</v>
      </c>
      <c r="B75" s="1" t="s">
        <v>48</v>
      </c>
      <c r="C75" s="1">
        <v>1</v>
      </c>
      <c r="D75" s="1">
        <v>68880.964999999997</v>
      </c>
      <c r="E75">
        <v>6.8880964999999996</v>
      </c>
      <c r="F75">
        <v>4.355071302031055E-3</v>
      </c>
    </row>
    <row r="76" spans="1:6" x14ac:dyDescent="0.3">
      <c r="A76" s="1" t="s">
        <v>32</v>
      </c>
      <c r="B76" s="1" t="s">
        <v>48</v>
      </c>
      <c r="C76" s="1">
        <v>6</v>
      </c>
      <c r="D76" s="1">
        <v>89006.005999999994</v>
      </c>
      <c r="E76">
        <v>8.9006005999999989</v>
      </c>
      <c r="F76">
        <v>5.6274981402917902E-3</v>
      </c>
    </row>
    <row r="77" spans="1:6" x14ac:dyDescent="0.3">
      <c r="A77" s="1" t="s">
        <v>36</v>
      </c>
      <c r="B77" s="1" t="s">
        <v>48</v>
      </c>
      <c r="C77" s="1">
        <v>14</v>
      </c>
      <c r="D77" s="1">
        <v>129818.56299999999</v>
      </c>
      <c r="E77">
        <v>12.981856299999999</v>
      </c>
      <c r="F77">
        <v>8.2079148890003284E-3</v>
      </c>
    </row>
    <row r="78" spans="1:6" x14ac:dyDescent="0.3">
      <c r="A78" s="1" t="s">
        <v>39</v>
      </c>
      <c r="B78" s="1" t="s">
        <v>48</v>
      </c>
      <c r="C78" s="1">
        <v>2</v>
      </c>
      <c r="D78" s="1">
        <v>190245.58900000001</v>
      </c>
      <c r="E78">
        <v>19.024558900000002</v>
      </c>
      <c r="F78">
        <v>1.2028477025429233E-2</v>
      </c>
    </row>
    <row r="79" spans="1:6" x14ac:dyDescent="0.3">
      <c r="A79" s="1" t="s">
        <v>5</v>
      </c>
      <c r="B79" s="1" t="s">
        <v>48</v>
      </c>
      <c r="C79" s="1">
        <v>10</v>
      </c>
      <c r="D79" s="1">
        <v>234112.93799999999</v>
      </c>
      <c r="E79">
        <v>23.411293799999999</v>
      </c>
      <c r="F79">
        <v>1.4802036204312407E-2</v>
      </c>
    </row>
    <row r="80" spans="1:6" x14ac:dyDescent="0.3">
      <c r="A80" s="1" t="s">
        <v>10</v>
      </c>
      <c r="B80" s="1" t="s">
        <v>48</v>
      </c>
      <c r="C80" s="1">
        <v>8</v>
      </c>
      <c r="D80" s="1">
        <v>449060.76799999998</v>
      </c>
      <c r="E80">
        <v>44.906076800000001</v>
      </c>
      <c r="F80">
        <v>2.8392338341729471E-2</v>
      </c>
    </row>
    <row r="81" spans="1:6" x14ac:dyDescent="0.3">
      <c r="A81" s="1" t="s">
        <v>6</v>
      </c>
      <c r="B81" s="1" t="s">
        <v>48</v>
      </c>
      <c r="C81" s="1">
        <v>30</v>
      </c>
      <c r="D81" s="1">
        <v>468377.04799999902</v>
      </c>
      <c r="E81">
        <v>46.837704799999905</v>
      </c>
      <c r="F81">
        <v>2.9613630416978301E-2</v>
      </c>
    </row>
    <row r="82" spans="1:6" x14ac:dyDescent="0.3">
      <c r="A82" s="1" t="s">
        <v>19</v>
      </c>
      <c r="B82" s="1" t="s">
        <v>48</v>
      </c>
      <c r="C82" s="1">
        <v>1</v>
      </c>
      <c r="D82" s="1">
        <v>668454.64199999999</v>
      </c>
      <c r="E82">
        <v>66.845464199999995</v>
      </c>
      <c r="F82">
        <v>4.2263746277126674E-2</v>
      </c>
    </row>
    <row r="83" spans="1:6" x14ac:dyDescent="0.3">
      <c r="A83" s="1" t="s">
        <v>16</v>
      </c>
      <c r="B83" s="1" t="s">
        <v>48</v>
      </c>
      <c r="C83" s="1">
        <v>21</v>
      </c>
      <c r="D83" s="1">
        <v>935149.75</v>
      </c>
      <c r="E83">
        <v>93.514975000000007</v>
      </c>
      <c r="F83">
        <v>5.9125824374361133E-2</v>
      </c>
    </row>
    <row r="84" spans="1:6" x14ac:dyDescent="0.3">
      <c r="A84" s="1" t="s">
        <v>9</v>
      </c>
      <c r="B84" s="1" t="s">
        <v>48</v>
      </c>
      <c r="C84" s="1">
        <v>9</v>
      </c>
      <c r="D84" s="1">
        <v>1184832.8259999999</v>
      </c>
      <c r="E84">
        <v>118.4832826</v>
      </c>
      <c r="F84">
        <v>7.4912298894432655E-2</v>
      </c>
    </row>
    <row r="85" spans="1:6" x14ac:dyDescent="0.3">
      <c r="A85" s="1" t="s">
        <v>8</v>
      </c>
      <c r="B85" s="1" t="s">
        <v>48</v>
      </c>
      <c r="C85" s="1">
        <v>32</v>
      </c>
      <c r="D85" s="1">
        <v>1562351.37099999</v>
      </c>
      <c r="E85">
        <v>156.23513709999901</v>
      </c>
      <c r="F85">
        <v>9.8781305104115924E-2</v>
      </c>
    </row>
    <row r="86" spans="1:6" x14ac:dyDescent="0.3">
      <c r="A86" s="1" t="s">
        <v>18</v>
      </c>
      <c r="B86" s="1" t="s">
        <v>48</v>
      </c>
      <c r="C86" s="1">
        <v>16</v>
      </c>
      <c r="D86" s="1">
        <v>3734142.3059999999</v>
      </c>
      <c r="E86">
        <v>373.4142306</v>
      </c>
      <c r="F86">
        <v>0.23609506624305668</v>
      </c>
    </row>
    <row r="87" spans="1:6" x14ac:dyDescent="0.3">
      <c r="A87" s="1" t="s">
        <v>20</v>
      </c>
      <c r="B87" s="1" t="s">
        <v>48</v>
      </c>
      <c r="C87" s="1">
        <v>82</v>
      </c>
      <c r="D87" s="1">
        <v>4061997.4040000001</v>
      </c>
      <c r="E87">
        <v>406.1997404</v>
      </c>
      <c r="F87">
        <v>0.25682404889485866</v>
      </c>
    </row>
    <row r="88" spans="1:6" x14ac:dyDescent="0.3">
      <c r="A88" s="1" t="s">
        <v>29</v>
      </c>
      <c r="B88" s="1" t="s">
        <v>48</v>
      </c>
      <c r="C88" s="1">
        <v>177</v>
      </c>
      <c r="D88" s="1">
        <v>5352219.1869999999</v>
      </c>
      <c r="E88">
        <v>535.22191869999995</v>
      </c>
      <c r="F88">
        <v>0.33839967520030656</v>
      </c>
    </row>
    <row r="89" spans="1:6" x14ac:dyDescent="0.3">
      <c r="A89" s="1" t="s">
        <v>3</v>
      </c>
      <c r="B89" s="1" t="s">
        <v>48</v>
      </c>
      <c r="C89" s="1">
        <v>221</v>
      </c>
      <c r="D89" s="1">
        <v>11345654.483999901</v>
      </c>
      <c r="E89">
        <v>1134.5654483999901</v>
      </c>
      <c r="F89">
        <v>0.7173409119054579</v>
      </c>
    </row>
    <row r="90" spans="1:6" x14ac:dyDescent="0.3">
      <c r="A90" s="1" t="s">
        <v>21</v>
      </c>
      <c r="B90" s="1" t="s">
        <v>48</v>
      </c>
      <c r="C90" s="1">
        <v>241</v>
      </c>
      <c r="D90" s="1">
        <v>21079261.500999998</v>
      </c>
      <c r="E90">
        <v>2107.9261500999996</v>
      </c>
      <c r="F90">
        <v>1.3327584308816398</v>
      </c>
    </row>
    <row r="91" spans="1:6" x14ac:dyDescent="0.3">
      <c r="A91" s="1" t="s">
        <v>22</v>
      </c>
      <c r="B91" s="1" t="s">
        <v>48</v>
      </c>
      <c r="C91" s="1">
        <v>138</v>
      </c>
      <c r="D91" s="1">
        <v>42702595.056999899</v>
      </c>
      <c r="E91">
        <v>4270.2595056999899</v>
      </c>
      <c r="F91">
        <v>2.6999163884390041</v>
      </c>
    </row>
    <row r="92" spans="1:6" x14ac:dyDescent="0.3">
      <c r="A92" s="1" t="s">
        <v>33</v>
      </c>
      <c r="B92" s="1" t="s">
        <v>48</v>
      </c>
      <c r="C92" s="1">
        <v>171</v>
      </c>
      <c r="D92" s="1">
        <v>81364404.072999999</v>
      </c>
      <c r="E92">
        <v>8136.4404072999996</v>
      </c>
      <c r="F92">
        <v>5.1443498386699575</v>
      </c>
    </row>
    <row r="93" spans="1:6" x14ac:dyDescent="0.3">
      <c r="A93" s="1" t="s">
        <v>24</v>
      </c>
      <c r="B93" s="1" t="s">
        <v>48</v>
      </c>
      <c r="C93" s="1">
        <v>918</v>
      </c>
      <c r="D93" s="1">
        <v>103167563.45900001</v>
      </c>
      <c r="E93">
        <v>10316.756345900001</v>
      </c>
      <c r="F93">
        <v>6.5228774730545478</v>
      </c>
    </row>
    <row r="94" spans="1:6" x14ac:dyDescent="0.3">
      <c r="A94" s="1" t="s">
        <v>23</v>
      </c>
      <c r="B94" s="1" t="s">
        <v>48</v>
      </c>
      <c r="C94" s="1">
        <v>154</v>
      </c>
      <c r="D94" s="1">
        <v>191629350.792999</v>
      </c>
      <c r="E94">
        <v>19162.935079299899</v>
      </c>
      <c r="F94">
        <v>12.115966817036201</v>
      </c>
    </row>
    <row r="95" spans="1:6" x14ac:dyDescent="0.3">
      <c r="A95" s="1" t="s">
        <v>34</v>
      </c>
      <c r="B95" s="1" t="s">
        <v>48</v>
      </c>
      <c r="C95" s="1">
        <v>4214</v>
      </c>
      <c r="D95" s="1">
        <v>1111112529.092</v>
      </c>
      <c r="E95">
        <v>111111.2529092</v>
      </c>
      <c r="F95">
        <v>70.251255753686308</v>
      </c>
    </row>
    <row r="96" spans="1:6" x14ac:dyDescent="0.3">
      <c r="A96" s="1" t="s">
        <v>15</v>
      </c>
      <c r="B96" s="1" t="s">
        <v>43</v>
      </c>
      <c r="C96" s="1">
        <v>1</v>
      </c>
      <c r="D96" s="1">
        <v>599.548</v>
      </c>
      <c r="E96">
        <v>5.9954800000000003E-2</v>
      </c>
      <c r="F96">
        <v>2.9493916203132724E-4</v>
      </c>
    </row>
    <row r="97" spans="1:6" x14ac:dyDescent="0.3">
      <c r="A97" s="1" t="s">
        <v>46</v>
      </c>
      <c r="B97" s="1" t="s">
        <v>43</v>
      </c>
      <c r="C97" s="1">
        <v>1</v>
      </c>
      <c r="D97" s="1">
        <v>5849.1769999999997</v>
      </c>
      <c r="E97">
        <v>0.58491769999999998</v>
      </c>
      <c r="F97">
        <v>2.8774199279338977E-3</v>
      </c>
    </row>
    <row r="98" spans="1:6" x14ac:dyDescent="0.3">
      <c r="A98" s="1" t="s">
        <v>44</v>
      </c>
      <c r="B98" s="1" t="s">
        <v>43</v>
      </c>
      <c r="C98" s="1">
        <v>1</v>
      </c>
      <c r="D98" s="1">
        <v>5978.3149999999996</v>
      </c>
      <c r="E98">
        <v>0.59783149999999996</v>
      </c>
      <c r="F98">
        <v>2.9409475412465959E-3</v>
      </c>
    </row>
    <row r="99" spans="1:6" x14ac:dyDescent="0.3">
      <c r="A99" s="1" t="s">
        <v>45</v>
      </c>
      <c r="B99" s="1" t="s">
        <v>43</v>
      </c>
      <c r="C99" s="1">
        <v>1</v>
      </c>
      <c r="D99" s="1">
        <v>6235.44</v>
      </c>
      <c r="E99">
        <v>0.62354399999999999</v>
      </c>
      <c r="F99">
        <v>3.0674365496951355E-3</v>
      </c>
    </row>
    <row r="100" spans="1:6" x14ac:dyDescent="0.3">
      <c r="A100" s="1" t="s">
        <v>5</v>
      </c>
      <c r="B100" s="1" t="s">
        <v>43</v>
      </c>
      <c r="C100" s="1">
        <v>4</v>
      </c>
      <c r="D100" s="1">
        <v>69547.491999999998</v>
      </c>
      <c r="E100">
        <v>6.9547492000000002</v>
      </c>
      <c r="F100">
        <v>3.4212905408508472E-2</v>
      </c>
    </row>
    <row r="101" spans="1:6" x14ac:dyDescent="0.3">
      <c r="A101" s="1" t="s">
        <v>19</v>
      </c>
      <c r="B101" s="1" t="s">
        <v>43</v>
      </c>
      <c r="C101" s="1">
        <v>2</v>
      </c>
      <c r="D101" s="1">
        <v>223137.56400000001</v>
      </c>
      <c r="E101">
        <v>22.313756400000003</v>
      </c>
      <c r="F101">
        <v>0.109769369831726</v>
      </c>
    </row>
    <row r="102" spans="1:6" x14ac:dyDescent="0.3">
      <c r="A102" s="1" t="s">
        <v>47</v>
      </c>
      <c r="B102" s="1" t="s">
        <v>43</v>
      </c>
      <c r="C102" s="1">
        <v>4</v>
      </c>
      <c r="D102" s="1">
        <v>358613.92800000001</v>
      </c>
      <c r="E102">
        <v>35.861392800000004</v>
      </c>
      <c r="F102">
        <v>0.17641505170075247</v>
      </c>
    </row>
    <row r="103" spans="1:6" x14ac:dyDescent="0.3">
      <c r="A103" s="1" t="s">
        <v>28</v>
      </c>
      <c r="B103" s="1" t="s">
        <v>43</v>
      </c>
      <c r="C103" s="1">
        <v>4</v>
      </c>
      <c r="D103" s="1">
        <v>544055.71499999997</v>
      </c>
      <c r="E103">
        <v>54.405571499999994</v>
      </c>
      <c r="F103">
        <v>0.26764051699022356</v>
      </c>
    </row>
    <row r="104" spans="1:6" x14ac:dyDescent="0.3">
      <c r="A104" s="1" t="s">
        <v>6</v>
      </c>
      <c r="B104" s="1" t="s">
        <v>43</v>
      </c>
      <c r="C104" s="1">
        <v>10</v>
      </c>
      <c r="D104" s="1">
        <v>597967.64199999999</v>
      </c>
      <c r="E104">
        <v>59.796764199999998</v>
      </c>
      <c r="F104">
        <v>0.29416172725674788</v>
      </c>
    </row>
    <row r="105" spans="1:6" x14ac:dyDescent="0.3">
      <c r="A105" s="1" t="s">
        <v>16</v>
      </c>
      <c r="B105" s="1" t="s">
        <v>43</v>
      </c>
      <c r="C105" s="1">
        <v>14</v>
      </c>
      <c r="D105" s="1">
        <v>631975.23600000003</v>
      </c>
      <c r="E105">
        <v>63.197523600000004</v>
      </c>
      <c r="F105">
        <v>0.31089128231666235</v>
      </c>
    </row>
    <row r="106" spans="1:6" x14ac:dyDescent="0.3">
      <c r="A106" s="1" t="s">
        <v>29</v>
      </c>
      <c r="B106" s="1" t="s">
        <v>43</v>
      </c>
      <c r="C106" s="1">
        <v>27</v>
      </c>
      <c r="D106" s="1">
        <v>1087413.993</v>
      </c>
      <c r="E106">
        <v>108.7413993</v>
      </c>
      <c r="F106">
        <v>0.53493793970884662</v>
      </c>
    </row>
    <row r="107" spans="1:6" x14ac:dyDescent="0.3">
      <c r="A107" s="1" t="s">
        <v>8</v>
      </c>
      <c r="B107" s="1" t="s">
        <v>43</v>
      </c>
      <c r="C107" s="1">
        <v>21</v>
      </c>
      <c r="D107" s="1">
        <v>1234133.6159999999</v>
      </c>
      <c r="E107">
        <v>123.41336159999999</v>
      </c>
      <c r="F107">
        <v>0.60711458388274464</v>
      </c>
    </row>
    <row r="108" spans="1:6" x14ac:dyDescent="0.3">
      <c r="A108" s="1" t="s">
        <v>36</v>
      </c>
      <c r="B108" s="1" t="s">
        <v>43</v>
      </c>
      <c r="C108" s="1">
        <v>108</v>
      </c>
      <c r="D108" s="1">
        <v>3538521.64099999</v>
      </c>
      <c r="E108">
        <v>353.85216409999902</v>
      </c>
      <c r="F108">
        <v>1.7407256927322818</v>
      </c>
    </row>
    <row r="109" spans="1:6" x14ac:dyDescent="0.3">
      <c r="A109" s="1" t="s">
        <v>35</v>
      </c>
      <c r="B109" s="1" t="s">
        <v>43</v>
      </c>
      <c r="C109" s="1">
        <v>84</v>
      </c>
      <c r="D109" s="1">
        <v>3564509.7009999901</v>
      </c>
      <c r="E109">
        <v>356.45097009999898</v>
      </c>
      <c r="F109">
        <v>1.753510151423195</v>
      </c>
    </row>
    <row r="110" spans="1:6" x14ac:dyDescent="0.3">
      <c r="A110" s="1" t="s">
        <v>10</v>
      </c>
      <c r="B110" s="1" t="s">
        <v>43</v>
      </c>
      <c r="C110" s="1">
        <v>5</v>
      </c>
      <c r="D110" s="1">
        <v>4512320.8389999997</v>
      </c>
      <c r="E110">
        <v>451.23208389999996</v>
      </c>
      <c r="F110">
        <v>2.2197724403569943</v>
      </c>
    </row>
    <row r="111" spans="1:6" x14ac:dyDescent="0.3">
      <c r="A111" s="1" t="s">
        <v>40</v>
      </c>
      <c r="B111" s="1" t="s">
        <v>43</v>
      </c>
      <c r="C111" s="1">
        <v>10</v>
      </c>
      <c r="D111" s="1">
        <v>4686618.8530000001</v>
      </c>
      <c r="E111">
        <v>468.66188529999999</v>
      </c>
      <c r="F111">
        <v>2.3055158840727348</v>
      </c>
    </row>
    <row r="112" spans="1:6" x14ac:dyDescent="0.3">
      <c r="A112" s="1" t="s">
        <v>17</v>
      </c>
      <c r="B112" s="1" t="s">
        <v>43</v>
      </c>
      <c r="C112" s="1">
        <v>128</v>
      </c>
      <c r="D112" s="1">
        <v>4898953.1069999998</v>
      </c>
      <c r="E112">
        <v>489.89531069999998</v>
      </c>
      <c r="F112">
        <v>2.4099707182900234</v>
      </c>
    </row>
    <row r="113" spans="1:6" x14ac:dyDescent="0.3">
      <c r="A113" s="1" t="s">
        <v>20</v>
      </c>
      <c r="B113" s="1" t="s">
        <v>43</v>
      </c>
      <c r="C113" s="1">
        <v>42</v>
      </c>
      <c r="D113" s="1">
        <v>6283779.5180000002</v>
      </c>
      <c r="E113">
        <v>628.37795180000001</v>
      </c>
      <c r="F113">
        <v>3.0912164921383067</v>
      </c>
    </row>
    <row r="114" spans="1:6" x14ac:dyDescent="0.3">
      <c r="A114" s="1" t="s">
        <v>21</v>
      </c>
      <c r="B114" s="1" t="s">
        <v>43</v>
      </c>
      <c r="C114" s="1">
        <v>28</v>
      </c>
      <c r="D114" s="1">
        <v>7989281.6780000003</v>
      </c>
      <c r="E114">
        <v>798.92816779999998</v>
      </c>
      <c r="F114">
        <v>3.930214166908331</v>
      </c>
    </row>
    <row r="115" spans="1:6" x14ac:dyDescent="0.3">
      <c r="A115" s="1" t="s">
        <v>9</v>
      </c>
      <c r="B115" s="1" t="s">
        <v>43</v>
      </c>
      <c r="C115" s="1">
        <v>17</v>
      </c>
      <c r="D115" s="1">
        <v>8112428.8969999999</v>
      </c>
      <c r="E115">
        <v>811.24288969999998</v>
      </c>
      <c r="F115">
        <v>3.9907947002073301</v>
      </c>
    </row>
    <row r="116" spans="1:6" x14ac:dyDescent="0.3">
      <c r="A116" s="1" t="s">
        <v>3</v>
      </c>
      <c r="B116" s="1" t="s">
        <v>43</v>
      </c>
      <c r="C116" s="1">
        <v>147</v>
      </c>
      <c r="D116" s="1">
        <v>11937638.254000001</v>
      </c>
      <c r="E116">
        <v>1193.7638254000001</v>
      </c>
      <c r="F116">
        <v>5.8725523615588351</v>
      </c>
    </row>
    <row r="117" spans="1:6" x14ac:dyDescent="0.3">
      <c r="A117" s="1" t="s">
        <v>24</v>
      </c>
      <c r="B117" s="1" t="s">
        <v>43</v>
      </c>
      <c r="C117" s="1">
        <v>143</v>
      </c>
      <c r="D117" s="1">
        <v>66404792.239999898</v>
      </c>
      <c r="E117">
        <v>6640.4792239999897</v>
      </c>
      <c r="F117">
        <v>32.66689869389932</v>
      </c>
    </row>
    <row r="118" spans="1:6" x14ac:dyDescent="0.3">
      <c r="A118" s="1" t="s">
        <v>23</v>
      </c>
      <c r="B118" s="1" t="s">
        <v>43</v>
      </c>
      <c r="C118" s="1">
        <v>240</v>
      </c>
      <c r="D118" s="1">
        <v>76584179.988999993</v>
      </c>
      <c r="E118">
        <v>7658.4179988999995</v>
      </c>
      <c r="F118">
        <v>37.674504578135526</v>
      </c>
    </row>
    <row r="119" spans="1:6" x14ac:dyDescent="0.3">
      <c r="A119" s="1" t="s">
        <v>37</v>
      </c>
      <c r="B119" s="1" t="s">
        <v>38</v>
      </c>
      <c r="C119" s="1">
        <v>1</v>
      </c>
      <c r="D119" s="1">
        <v>918.50400000000002</v>
      </c>
      <c r="E119">
        <v>9.1850399999999999E-2</v>
      </c>
      <c r="F119">
        <v>7.3427512421706521E-5</v>
      </c>
    </row>
    <row r="120" spans="1:6" x14ac:dyDescent="0.3">
      <c r="A120" s="1" t="s">
        <v>42</v>
      </c>
      <c r="B120" s="1" t="s">
        <v>38</v>
      </c>
      <c r="C120" s="1">
        <v>1</v>
      </c>
      <c r="D120" s="1">
        <v>1117.3869999999999</v>
      </c>
      <c r="E120">
        <v>0.1117387</v>
      </c>
      <c r="F120">
        <v>8.932671803536335E-5</v>
      </c>
    </row>
    <row r="121" spans="1:6" x14ac:dyDescent="0.3">
      <c r="A121" s="1" t="s">
        <v>39</v>
      </c>
      <c r="B121" s="1" t="s">
        <v>38</v>
      </c>
      <c r="C121" s="1">
        <v>1</v>
      </c>
      <c r="D121" s="1">
        <v>54258.955999999998</v>
      </c>
      <c r="E121">
        <v>5.4258955999999996</v>
      </c>
      <c r="F121">
        <v>4.3375969681991875E-3</v>
      </c>
    </row>
    <row r="122" spans="1:6" x14ac:dyDescent="0.3">
      <c r="A122" s="1" t="s">
        <v>22</v>
      </c>
      <c r="B122" s="1" t="s">
        <v>38</v>
      </c>
      <c r="C122" s="1">
        <v>3</v>
      </c>
      <c r="D122" s="1">
        <v>240931.554</v>
      </c>
      <c r="E122">
        <v>24.093155400000001</v>
      </c>
      <c r="F122">
        <v>1.9260672434868061E-2</v>
      </c>
    </row>
    <row r="123" spans="1:6" x14ac:dyDescent="0.3">
      <c r="A123" s="1" t="s">
        <v>18</v>
      </c>
      <c r="B123" s="1" t="s">
        <v>38</v>
      </c>
      <c r="C123" s="1">
        <v>51</v>
      </c>
      <c r="D123" s="1">
        <v>283622.61900000001</v>
      </c>
      <c r="E123">
        <v>28.3622619</v>
      </c>
      <c r="F123">
        <v>2.2673503196174904E-2</v>
      </c>
    </row>
    <row r="124" spans="1:6" x14ac:dyDescent="0.3">
      <c r="A124" s="1" t="s">
        <v>40</v>
      </c>
      <c r="B124" s="1" t="s">
        <v>38</v>
      </c>
      <c r="C124" s="1">
        <v>2</v>
      </c>
      <c r="D124" s="1">
        <v>1804566.308</v>
      </c>
      <c r="E124">
        <v>180.4566308</v>
      </c>
      <c r="F124">
        <v>0.14426155465459384</v>
      </c>
    </row>
    <row r="125" spans="1:6" x14ac:dyDescent="0.3">
      <c r="A125" s="1" t="s">
        <v>17</v>
      </c>
      <c r="B125" s="1" t="s">
        <v>38</v>
      </c>
      <c r="C125" s="1">
        <v>30</v>
      </c>
      <c r="D125" s="1">
        <v>2037882.74599999</v>
      </c>
      <c r="E125">
        <v>203.788274599999</v>
      </c>
      <c r="F125">
        <v>0.16291345562555595</v>
      </c>
    </row>
    <row r="126" spans="1:6" x14ac:dyDescent="0.3">
      <c r="A126" s="1" t="s">
        <v>41</v>
      </c>
      <c r="B126" s="1" t="s">
        <v>38</v>
      </c>
      <c r="C126" s="1">
        <v>36</v>
      </c>
      <c r="D126" s="1">
        <v>2515112.77399999</v>
      </c>
      <c r="E126">
        <v>251.51127739999899</v>
      </c>
      <c r="F126">
        <v>0.20106442046510087</v>
      </c>
    </row>
    <row r="127" spans="1:6" x14ac:dyDescent="0.3">
      <c r="A127" s="1" t="s">
        <v>29</v>
      </c>
      <c r="B127" s="1" t="s">
        <v>38</v>
      </c>
      <c r="C127" s="1">
        <v>43</v>
      </c>
      <c r="D127" s="1">
        <v>6953565.8679999998</v>
      </c>
      <c r="E127">
        <v>695.35658679999995</v>
      </c>
      <c r="F127">
        <v>0.5558854878669276</v>
      </c>
    </row>
    <row r="128" spans="1:6" x14ac:dyDescent="0.3">
      <c r="A128" s="1" t="s">
        <v>9</v>
      </c>
      <c r="B128" s="1" t="s">
        <v>38</v>
      </c>
      <c r="C128" s="1">
        <v>23</v>
      </c>
      <c r="D128" s="1">
        <v>8304972.7719999999</v>
      </c>
      <c r="E128">
        <v>830.49727719999998</v>
      </c>
      <c r="F128">
        <v>0.66392034370886177</v>
      </c>
    </row>
    <row r="129" spans="1:6" x14ac:dyDescent="0.3">
      <c r="A129" s="1" t="s">
        <v>10</v>
      </c>
      <c r="B129" s="1" t="s">
        <v>38</v>
      </c>
      <c r="C129" s="1">
        <v>63</v>
      </c>
      <c r="D129" s="1">
        <v>8316153.8399999896</v>
      </c>
      <c r="E129">
        <v>831.61538399999893</v>
      </c>
      <c r="F129">
        <v>0.6648141863153797</v>
      </c>
    </row>
    <row r="130" spans="1:6" x14ac:dyDescent="0.3">
      <c r="A130" s="1" t="s">
        <v>35</v>
      </c>
      <c r="B130" s="1" t="s">
        <v>38</v>
      </c>
      <c r="C130" s="1">
        <v>13</v>
      </c>
      <c r="D130" s="1">
        <v>8661208.4450000003</v>
      </c>
      <c r="E130">
        <v>866.12084449999998</v>
      </c>
      <c r="F130">
        <v>0.69239871648052354</v>
      </c>
    </row>
    <row r="131" spans="1:6" x14ac:dyDescent="0.3">
      <c r="A131" s="1" t="s">
        <v>3</v>
      </c>
      <c r="B131" s="1" t="s">
        <v>38</v>
      </c>
      <c r="C131" s="1">
        <v>60</v>
      </c>
      <c r="D131" s="1">
        <v>10131397.835999999</v>
      </c>
      <c r="E131">
        <v>1013.1397835999999</v>
      </c>
      <c r="F131">
        <v>0.80992934211733469</v>
      </c>
    </row>
    <row r="132" spans="1:6" x14ac:dyDescent="0.3">
      <c r="A132" s="1" t="s">
        <v>33</v>
      </c>
      <c r="B132" s="1" t="s">
        <v>38</v>
      </c>
      <c r="C132" s="1">
        <v>338</v>
      </c>
      <c r="D132" s="1">
        <v>14493132.438999901</v>
      </c>
      <c r="E132">
        <v>1449.3132438999901</v>
      </c>
      <c r="F132">
        <v>1.1586173410176797</v>
      </c>
    </row>
    <row r="133" spans="1:6" x14ac:dyDescent="0.3">
      <c r="A133" s="1" t="s">
        <v>16</v>
      </c>
      <c r="B133" s="1" t="s">
        <v>38</v>
      </c>
      <c r="C133" s="1">
        <v>9</v>
      </c>
      <c r="D133" s="1">
        <v>14734771.288000001</v>
      </c>
      <c r="E133">
        <v>1473.4771288000002</v>
      </c>
      <c r="F133">
        <v>1.1779345563880228</v>
      </c>
    </row>
    <row r="134" spans="1:6" x14ac:dyDescent="0.3">
      <c r="A134" s="1" t="s">
        <v>5</v>
      </c>
      <c r="B134" s="1" t="s">
        <v>38</v>
      </c>
      <c r="C134" s="1">
        <v>18</v>
      </c>
      <c r="D134" s="1">
        <v>16590006.982000001</v>
      </c>
      <c r="E134">
        <v>1659.0006982</v>
      </c>
      <c r="F134">
        <v>1.3262467487860725</v>
      </c>
    </row>
    <row r="135" spans="1:6" x14ac:dyDescent="0.3">
      <c r="A135" s="1" t="s">
        <v>8</v>
      </c>
      <c r="B135" s="1" t="s">
        <v>38</v>
      </c>
      <c r="C135" s="1">
        <v>67</v>
      </c>
      <c r="D135" s="1">
        <v>18546223.469999898</v>
      </c>
      <c r="E135">
        <v>1854.6223469999898</v>
      </c>
      <c r="F135">
        <v>1.482631599012266</v>
      </c>
    </row>
    <row r="136" spans="1:6" x14ac:dyDescent="0.3">
      <c r="A136" s="1" t="s">
        <v>36</v>
      </c>
      <c r="B136" s="1" t="s">
        <v>38</v>
      </c>
      <c r="C136" s="1">
        <v>62</v>
      </c>
      <c r="D136" s="1">
        <v>43825180.402000003</v>
      </c>
      <c r="E136">
        <v>4382.5180402000005</v>
      </c>
      <c r="F136">
        <v>3.5034947897356838</v>
      </c>
    </row>
    <row r="137" spans="1:6" x14ac:dyDescent="0.3">
      <c r="A137" s="1" t="s">
        <v>19</v>
      </c>
      <c r="B137" s="1" t="s">
        <v>38</v>
      </c>
      <c r="C137" s="1">
        <v>625</v>
      </c>
      <c r="D137" s="1">
        <v>124180157.691999</v>
      </c>
      <c r="E137">
        <v>12418.015769199901</v>
      </c>
      <c r="F137">
        <v>9.927273121792318</v>
      </c>
    </row>
    <row r="138" spans="1:6" x14ac:dyDescent="0.3">
      <c r="A138" s="1" t="s">
        <v>23</v>
      </c>
      <c r="B138" s="1" t="s">
        <v>38</v>
      </c>
      <c r="C138" s="1">
        <v>2850</v>
      </c>
      <c r="D138" s="1">
        <v>246868746.77499899</v>
      </c>
      <c r="E138">
        <v>24686.874677499898</v>
      </c>
      <c r="F138">
        <v>19.735306509663928</v>
      </c>
    </row>
    <row r="139" spans="1:6" x14ac:dyDescent="0.3">
      <c r="A139" s="1" t="s">
        <v>24</v>
      </c>
      <c r="B139" s="1" t="s">
        <v>38</v>
      </c>
      <c r="C139" s="1">
        <v>2941</v>
      </c>
      <c r="D139" s="1">
        <v>301596893.41199899</v>
      </c>
      <c r="E139">
        <v>30159.689341199897</v>
      </c>
      <c r="F139">
        <v>24.110411753631613</v>
      </c>
    </row>
    <row r="140" spans="1:6" x14ac:dyDescent="0.3">
      <c r="A140" s="1" t="s">
        <v>20</v>
      </c>
      <c r="B140" s="1" t="s">
        <v>38</v>
      </c>
      <c r="C140" s="1">
        <v>1026</v>
      </c>
      <c r="D140" s="1">
        <v>420758152.58899999</v>
      </c>
      <c r="E140">
        <v>42075.815258900002</v>
      </c>
      <c r="F140">
        <v>33.636461545908439</v>
      </c>
    </row>
    <row r="141" spans="1:6" x14ac:dyDescent="0.3">
      <c r="A141" s="1" t="s">
        <v>10</v>
      </c>
      <c r="B141" s="1" t="s">
        <v>31</v>
      </c>
      <c r="C141" s="1">
        <v>1</v>
      </c>
      <c r="D141" s="1">
        <v>888.09500000000003</v>
      </c>
      <c r="E141">
        <v>8.88095E-2</v>
      </c>
      <c r="F141">
        <v>4.3434585295165847E-5</v>
      </c>
    </row>
    <row r="142" spans="1:6" x14ac:dyDescent="0.3">
      <c r="A142" s="1" t="s">
        <v>21</v>
      </c>
      <c r="B142" s="1" t="s">
        <v>31</v>
      </c>
      <c r="C142" s="1">
        <v>9</v>
      </c>
      <c r="D142" s="1">
        <v>150470.34399999899</v>
      </c>
      <c r="E142">
        <v>15.0470343999999</v>
      </c>
      <c r="F142">
        <v>7.3591417481923696E-3</v>
      </c>
    </row>
    <row r="143" spans="1:6" x14ac:dyDescent="0.3">
      <c r="A143" s="1" t="s">
        <v>37</v>
      </c>
      <c r="B143" s="1" t="s">
        <v>31</v>
      </c>
      <c r="C143" s="1">
        <v>3</v>
      </c>
      <c r="D143" s="1">
        <v>151601.72699999899</v>
      </c>
      <c r="E143">
        <v>15.160172699999899</v>
      </c>
      <c r="F143">
        <v>7.414474963011731E-3</v>
      </c>
    </row>
    <row r="144" spans="1:6" x14ac:dyDescent="0.3">
      <c r="A144" s="1" t="s">
        <v>16</v>
      </c>
      <c r="B144" s="1" t="s">
        <v>31</v>
      </c>
      <c r="C144" s="1">
        <v>13</v>
      </c>
      <c r="D144" s="1">
        <v>202646.71799999999</v>
      </c>
      <c r="E144">
        <v>20.264671799999999</v>
      </c>
      <c r="F144">
        <v>9.9109624057746298E-3</v>
      </c>
    </row>
    <row r="145" spans="1:6" x14ac:dyDescent="0.3">
      <c r="A145" s="1" t="s">
        <v>35</v>
      </c>
      <c r="B145" s="1" t="s">
        <v>31</v>
      </c>
      <c r="C145" s="1">
        <v>5</v>
      </c>
      <c r="D145" s="1">
        <v>678388.51199999999</v>
      </c>
      <c r="E145">
        <v>67.838851199999993</v>
      </c>
      <c r="F145">
        <v>3.3178346559461135E-2</v>
      </c>
    </row>
    <row r="146" spans="1:6" x14ac:dyDescent="0.3">
      <c r="A146" s="1" t="s">
        <v>9</v>
      </c>
      <c r="B146" s="1" t="s">
        <v>31</v>
      </c>
      <c r="C146" s="1">
        <v>13</v>
      </c>
      <c r="D146" s="1">
        <v>1442667.9839999999</v>
      </c>
      <c r="E146">
        <v>144.2667984</v>
      </c>
      <c r="F146">
        <v>7.0557412893500079E-2</v>
      </c>
    </row>
    <row r="147" spans="1:6" x14ac:dyDescent="0.3">
      <c r="A147" s="1" t="s">
        <v>6</v>
      </c>
      <c r="B147" s="1" t="s">
        <v>31</v>
      </c>
      <c r="C147" s="1">
        <v>11</v>
      </c>
      <c r="D147" s="1">
        <v>6489619.3509999998</v>
      </c>
      <c r="E147">
        <v>648.96193510000001</v>
      </c>
      <c r="F147">
        <v>0.31739163629360406</v>
      </c>
    </row>
    <row r="148" spans="1:6" x14ac:dyDescent="0.3">
      <c r="A148" s="1" t="s">
        <v>29</v>
      </c>
      <c r="B148" s="1" t="s">
        <v>31</v>
      </c>
      <c r="C148" s="1">
        <v>58</v>
      </c>
      <c r="D148" s="1">
        <v>7796515.892</v>
      </c>
      <c r="E148">
        <v>779.65158919999999</v>
      </c>
      <c r="F148">
        <v>0.38130879524847006</v>
      </c>
    </row>
    <row r="149" spans="1:6" x14ac:dyDescent="0.3">
      <c r="A149" s="1" t="s">
        <v>5</v>
      </c>
      <c r="B149" s="1" t="s">
        <v>31</v>
      </c>
      <c r="C149" s="1">
        <v>7</v>
      </c>
      <c r="D149" s="1">
        <v>7998815.7050000001</v>
      </c>
      <c r="E149">
        <v>799.88157049999995</v>
      </c>
      <c r="F149">
        <v>0.3912027913670662</v>
      </c>
    </row>
    <row r="150" spans="1:6" x14ac:dyDescent="0.3">
      <c r="A150" s="1" t="s">
        <v>20</v>
      </c>
      <c r="B150" s="1" t="s">
        <v>31</v>
      </c>
      <c r="C150" s="1">
        <v>59</v>
      </c>
      <c r="D150" s="1">
        <v>11869377.51</v>
      </c>
      <c r="E150">
        <v>1186.9377509999999</v>
      </c>
      <c r="F150">
        <v>0.58050263750907072</v>
      </c>
    </row>
    <row r="151" spans="1:6" x14ac:dyDescent="0.3">
      <c r="A151" s="1" t="s">
        <v>3</v>
      </c>
      <c r="B151" s="1" t="s">
        <v>31</v>
      </c>
      <c r="C151" s="1">
        <v>106</v>
      </c>
      <c r="D151" s="1">
        <v>13935404.863</v>
      </c>
      <c r="E151">
        <v>1393.5404862999999</v>
      </c>
      <c r="F151">
        <v>0.68154705425055018</v>
      </c>
    </row>
    <row r="152" spans="1:6" x14ac:dyDescent="0.3">
      <c r="A152" s="1" t="s">
        <v>32</v>
      </c>
      <c r="B152" s="1" t="s">
        <v>31</v>
      </c>
      <c r="C152" s="1">
        <v>2</v>
      </c>
      <c r="D152" s="1">
        <v>13987117.136</v>
      </c>
      <c r="E152">
        <v>1398.7117135999999</v>
      </c>
      <c r="F152">
        <v>0.68407617684714794</v>
      </c>
    </row>
    <row r="153" spans="1:6" x14ac:dyDescent="0.3">
      <c r="A153" s="1" t="s">
        <v>22</v>
      </c>
      <c r="B153" s="1" t="s">
        <v>31</v>
      </c>
      <c r="C153" s="1">
        <v>203</v>
      </c>
      <c r="D153" s="1">
        <v>23169680.304999899</v>
      </c>
      <c r="E153">
        <v>2316.9680304999897</v>
      </c>
      <c r="F153">
        <v>1.1331732027195764</v>
      </c>
    </row>
    <row r="154" spans="1:6" x14ac:dyDescent="0.3">
      <c r="A154" s="1" t="s">
        <v>18</v>
      </c>
      <c r="B154" s="1" t="s">
        <v>31</v>
      </c>
      <c r="C154" s="1">
        <v>71</v>
      </c>
      <c r="D154" s="1">
        <v>25896871.017999999</v>
      </c>
      <c r="E154">
        <v>2589.6871017999997</v>
      </c>
      <c r="F154">
        <v>1.2665535253652247</v>
      </c>
    </row>
    <row r="155" spans="1:6" x14ac:dyDescent="0.3">
      <c r="A155" s="1" t="s">
        <v>36</v>
      </c>
      <c r="B155" s="1" t="s">
        <v>31</v>
      </c>
      <c r="C155" s="1">
        <v>48</v>
      </c>
      <c r="D155" s="1">
        <v>51496274.192999899</v>
      </c>
      <c r="E155">
        <v>5149.6274192999899</v>
      </c>
      <c r="F155">
        <v>2.5185586157101456</v>
      </c>
    </row>
    <row r="156" spans="1:6" x14ac:dyDescent="0.3">
      <c r="A156" s="1" t="s">
        <v>33</v>
      </c>
      <c r="B156" s="1" t="s">
        <v>31</v>
      </c>
      <c r="C156" s="1">
        <v>1017</v>
      </c>
      <c r="D156" s="1">
        <v>135805656.45099899</v>
      </c>
      <c r="E156">
        <v>13580.565645099899</v>
      </c>
      <c r="F156">
        <v>6.6419272360354524</v>
      </c>
    </row>
    <row r="157" spans="1:6" x14ac:dyDescent="0.3">
      <c r="A157" s="1" t="s">
        <v>19</v>
      </c>
      <c r="B157" s="1" t="s">
        <v>31</v>
      </c>
      <c r="C157" s="1">
        <v>307</v>
      </c>
      <c r="D157" s="1">
        <v>154850599.313999</v>
      </c>
      <c r="E157">
        <v>15485.059931399899</v>
      </c>
      <c r="F157">
        <v>7.5733694750127398</v>
      </c>
    </row>
    <row r="158" spans="1:6" x14ac:dyDescent="0.3">
      <c r="A158" s="1" t="s">
        <v>8</v>
      </c>
      <c r="B158" s="1" t="s">
        <v>31</v>
      </c>
      <c r="C158" s="1">
        <v>61</v>
      </c>
      <c r="D158" s="1">
        <v>181651573.248</v>
      </c>
      <c r="E158">
        <v>18165.157324799999</v>
      </c>
      <c r="F158">
        <v>8.8841404942504134</v>
      </c>
    </row>
    <row r="159" spans="1:6" x14ac:dyDescent="0.3">
      <c r="A159" s="1" t="s">
        <v>34</v>
      </c>
      <c r="B159" s="1" t="s">
        <v>31</v>
      </c>
      <c r="C159" s="1">
        <v>1672</v>
      </c>
      <c r="D159" s="1">
        <v>322249495.11199898</v>
      </c>
      <c r="E159">
        <v>32224.949511199899</v>
      </c>
      <c r="F159">
        <v>15.760445877711563</v>
      </c>
    </row>
    <row r="160" spans="1:6" x14ac:dyDescent="0.3">
      <c r="A160" s="1" t="s">
        <v>24</v>
      </c>
      <c r="B160" s="1" t="s">
        <v>31</v>
      </c>
      <c r="C160" s="1">
        <v>2347</v>
      </c>
      <c r="D160" s="1">
        <v>411960436.515001</v>
      </c>
      <c r="E160">
        <v>41196.043651500098</v>
      </c>
      <c r="F160">
        <v>20.147991732916594</v>
      </c>
    </row>
    <row r="161" spans="1:6" x14ac:dyDescent="0.3">
      <c r="A161" s="1" t="s">
        <v>23</v>
      </c>
      <c r="B161" s="1" t="s">
        <v>31</v>
      </c>
      <c r="C161" s="1">
        <v>2468</v>
      </c>
      <c r="D161" s="1">
        <v>672888351.61399996</v>
      </c>
      <c r="E161">
        <v>67288.835161399998</v>
      </c>
      <c r="F161">
        <v>32.909346975607143</v>
      </c>
    </row>
    <row r="162" spans="1:6" x14ac:dyDescent="0.3">
      <c r="A162" s="1" t="s">
        <v>7</v>
      </c>
      <c r="B162" s="1" t="s">
        <v>30</v>
      </c>
      <c r="C162" s="1">
        <v>3</v>
      </c>
      <c r="D162" s="1">
        <v>1514.422</v>
      </c>
      <c r="E162">
        <v>0.1514422</v>
      </c>
      <c r="F162">
        <v>2.0990155111490737E-4</v>
      </c>
    </row>
    <row r="163" spans="1:6" x14ac:dyDescent="0.3">
      <c r="A163" s="1" t="s">
        <v>29</v>
      </c>
      <c r="B163" s="1" t="s">
        <v>30</v>
      </c>
      <c r="C163" s="1">
        <v>4</v>
      </c>
      <c r="D163" s="1">
        <v>218838.19699999999</v>
      </c>
      <c r="E163">
        <v>21.8838197</v>
      </c>
      <c r="F163">
        <v>3.0331358758318137E-2</v>
      </c>
    </row>
    <row r="164" spans="1:6" x14ac:dyDescent="0.3">
      <c r="A164" s="1" t="s">
        <v>3</v>
      </c>
      <c r="B164" s="1" t="s">
        <v>30</v>
      </c>
      <c r="C164" s="1">
        <v>2</v>
      </c>
      <c r="D164" s="1">
        <v>300778.93400000001</v>
      </c>
      <c r="E164">
        <v>30.077893400000001</v>
      </c>
      <c r="F164">
        <v>4.1688488934582532E-2</v>
      </c>
    </row>
    <row r="165" spans="1:6" x14ac:dyDescent="0.3">
      <c r="A165" s="1" t="s">
        <v>17</v>
      </c>
      <c r="B165" s="1" t="s">
        <v>30</v>
      </c>
      <c r="C165" s="1">
        <v>11</v>
      </c>
      <c r="D165" s="1">
        <v>5936074.29</v>
      </c>
      <c r="E165">
        <v>593.60742900000002</v>
      </c>
      <c r="F165">
        <v>0.8227503304919781</v>
      </c>
    </row>
    <row r="166" spans="1:6" x14ac:dyDescent="0.3">
      <c r="A166" s="1" t="s">
        <v>8</v>
      </c>
      <c r="B166" s="1" t="s">
        <v>30</v>
      </c>
      <c r="C166" s="1">
        <v>25</v>
      </c>
      <c r="D166" s="1">
        <v>13822358.778999999</v>
      </c>
      <c r="E166">
        <v>1382.2358778999999</v>
      </c>
      <c r="F166">
        <v>1.9158032224696004</v>
      </c>
    </row>
    <row r="167" spans="1:6" x14ac:dyDescent="0.3">
      <c r="A167" s="1" t="s">
        <v>9</v>
      </c>
      <c r="B167" s="1" t="s">
        <v>30</v>
      </c>
      <c r="C167" s="1">
        <v>22</v>
      </c>
      <c r="D167" s="1">
        <v>48389398.245999999</v>
      </c>
      <c r="E167">
        <v>4838.9398246000001</v>
      </c>
      <c r="F167">
        <v>6.7068556514316215</v>
      </c>
    </row>
    <row r="168" spans="1:6" x14ac:dyDescent="0.3">
      <c r="A168" s="1" t="s">
        <v>10</v>
      </c>
      <c r="B168" s="1" t="s">
        <v>30</v>
      </c>
      <c r="C168" s="1">
        <v>7</v>
      </c>
      <c r="D168" s="1">
        <v>102718378.91599999</v>
      </c>
      <c r="E168">
        <v>10271.8378916</v>
      </c>
      <c r="F168">
        <v>14.236947866893903</v>
      </c>
    </row>
    <row r="169" spans="1:6" x14ac:dyDescent="0.3">
      <c r="A169" s="1" t="s">
        <v>5</v>
      </c>
      <c r="B169" s="1" t="s">
        <v>30</v>
      </c>
      <c r="C169" s="1">
        <v>166</v>
      </c>
      <c r="D169" s="1">
        <v>166225689.77900001</v>
      </c>
      <c r="E169">
        <v>16622.568977900002</v>
      </c>
      <c r="F169">
        <v>23.039172779950047</v>
      </c>
    </row>
    <row r="170" spans="1:6" x14ac:dyDescent="0.3">
      <c r="A170" s="1" t="s">
        <v>6</v>
      </c>
      <c r="B170" s="1" t="s">
        <v>30</v>
      </c>
      <c r="C170" s="1">
        <v>161</v>
      </c>
      <c r="D170" s="1">
        <v>383878540.06</v>
      </c>
      <c r="E170">
        <v>38387.854006000001</v>
      </c>
      <c r="F170">
        <v>53.206240399518833</v>
      </c>
    </row>
    <row r="171" spans="1:6" x14ac:dyDescent="0.3">
      <c r="A171" s="1" t="s">
        <v>28</v>
      </c>
      <c r="B171" s="1" t="s">
        <v>12</v>
      </c>
      <c r="C171" s="1">
        <v>1</v>
      </c>
      <c r="D171" s="1">
        <v>21.001999999999999</v>
      </c>
      <c r="E171">
        <v>2.1002E-3</v>
      </c>
      <c r="F171">
        <v>6.2714747203867584E-6</v>
      </c>
    </row>
    <row r="172" spans="1:6" x14ac:dyDescent="0.3">
      <c r="A172" s="1" t="s">
        <v>27</v>
      </c>
      <c r="B172" s="1" t="s">
        <v>12</v>
      </c>
      <c r="C172" s="1">
        <v>1</v>
      </c>
      <c r="D172" s="1">
        <v>9216.1830000000009</v>
      </c>
      <c r="E172">
        <v>0.92161830000000011</v>
      </c>
      <c r="F172">
        <v>2.7520740264240645E-3</v>
      </c>
    </row>
    <row r="173" spans="1:6" x14ac:dyDescent="0.3">
      <c r="A173" s="1" t="s">
        <v>14</v>
      </c>
      <c r="B173" s="1" t="s">
        <v>12</v>
      </c>
      <c r="C173" s="1">
        <v>1</v>
      </c>
      <c r="D173" s="1">
        <v>9443.3709999999992</v>
      </c>
      <c r="E173">
        <v>0.94433709999999993</v>
      </c>
      <c r="F173">
        <v>2.8199153652858494E-3</v>
      </c>
    </row>
    <row r="174" spans="1:6" x14ac:dyDescent="0.3">
      <c r="A174" s="1" t="s">
        <v>22</v>
      </c>
      <c r="B174" s="1" t="s">
        <v>12</v>
      </c>
      <c r="C174" s="1">
        <v>28</v>
      </c>
      <c r="D174" s="1">
        <v>605496.53300000005</v>
      </c>
      <c r="E174">
        <v>60.549653300000003</v>
      </c>
      <c r="F174">
        <v>0.18080926578379802</v>
      </c>
    </row>
    <row r="175" spans="1:6" x14ac:dyDescent="0.3">
      <c r="A175" s="1" t="s">
        <v>21</v>
      </c>
      <c r="B175" s="1" t="s">
        <v>12</v>
      </c>
      <c r="C175" s="1">
        <v>7</v>
      </c>
      <c r="D175" s="1">
        <v>922806.81799999997</v>
      </c>
      <c r="E175">
        <v>92.280681799999996</v>
      </c>
      <c r="F175">
        <v>0.27556230982228086</v>
      </c>
    </row>
    <row r="176" spans="1:6" x14ac:dyDescent="0.3">
      <c r="A176" s="1" t="s">
        <v>11</v>
      </c>
      <c r="B176" s="1" t="s">
        <v>12</v>
      </c>
      <c r="C176" s="1">
        <v>69</v>
      </c>
      <c r="D176" s="1">
        <v>1054033.355</v>
      </c>
      <c r="E176">
        <v>105.4033355</v>
      </c>
      <c r="F176">
        <v>0.3147482877976831</v>
      </c>
    </row>
    <row r="177" spans="1:6" x14ac:dyDescent="0.3">
      <c r="A177" s="1" t="s">
        <v>18</v>
      </c>
      <c r="B177" s="1" t="s">
        <v>12</v>
      </c>
      <c r="C177" s="1">
        <v>109</v>
      </c>
      <c r="D177" s="1">
        <v>1710144.331</v>
      </c>
      <c r="E177">
        <v>171.01443309999999</v>
      </c>
      <c r="F177">
        <v>0.51067169508043153</v>
      </c>
    </row>
    <row r="178" spans="1:6" x14ac:dyDescent="0.3">
      <c r="A178" s="1" t="s">
        <v>16</v>
      </c>
      <c r="B178" s="1" t="s">
        <v>12</v>
      </c>
      <c r="C178" s="1">
        <v>154</v>
      </c>
      <c r="D178" s="1">
        <v>3445334.26</v>
      </c>
      <c r="E178">
        <v>344.53342599999996</v>
      </c>
      <c r="F178">
        <v>1.028822336676146</v>
      </c>
    </row>
    <row r="179" spans="1:6" x14ac:dyDescent="0.3">
      <c r="A179" s="1" t="s">
        <v>8</v>
      </c>
      <c r="B179" s="1" t="s">
        <v>12</v>
      </c>
      <c r="C179" s="1">
        <v>67</v>
      </c>
      <c r="D179" s="1">
        <v>6868638.9050000003</v>
      </c>
      <c r="E179">
        <v>686.86389050000002</v>
      </c>
      <c r="F179">
        <v>2.0510663392140027</v>
      </c>
    </row>
    <row r="180" spans="1:6" x14ac:dyDescent="0.3">
      <c r="A180" s="1" t="s">
        <v>13</v>
      </c>
      <c r="B180" s="1" t="s">
        <v>12</v>
      </c>
      <c r="C180" s="1">
        <v>60</v>
      </c>
      <c r="D180" s="1">
        <v>7390994.9279999901</v>
      </c>
      <c r="E180">
        <v>739.09949279999898</v>
      </c>
      <c r="F180">
        <v>2.2070487500932616</v>
      </c>
    </row>
    <row r="181" spans="1:6" x14ac:dyDescent="0.3">
      <c r="A181" s="1" t="s">
        <v>26</v>
      </c>
      <c r="B181" s="1" t="s">
        <v>12</v>
      </c>
      <c r="C181" s="1">
        <v>23</v>
      </c>
      <c r="D181" s="1">
        <v>8387766.557</v>
      </c>
      <c r="E181">
        <v>838.77665569999999</v>
      </c>
      <c r="F181">
        <v>2.5046979298510128</v>
      </c>
    </row>
    <row r="182" spans="1:6" x14ac:dyDescent="0.3">
      <c r="A182" s="1" t="s">
        <v>25</v>
      </c>
      <c r="B182" s="1" t="s">
        <v>12</v>
      </c>
      <c r="C182" s="1">
        <v>338</v>
      </c>
      <c r="D182" s="1">
        <v>9591614.9569999892</v>
      </c>
      <c r="E182">
        <v>959.16149569999891</v>
      </c>
      <c r="F182">
        <v>2.8641829697414032</v>
      </c>
    </row>
    <row r="183" spans="1:6" x14ac:dyDescent="0.3">
      <c r="A183" s="1" t="s">
        <v>17</v>
      </c>
      <c r="B183" s="1" t="s">
        <v>12</v>
      </c>
      <c r="C183" s="1">
        <v>138</v>
      </c>
      <c r="D183" s="1">
        <v>14653337.7179999</v>
      </c>
      <c r="E183">
        <v>1465.33377179999</v>
      </c>
      <c r="F183">
        <v>4.3756802717706007</v>
      </c>
    </row>
    <row r="184" spans="1:6" x14ac:dyDescent="0.3">
      <c r="A184" s="1" t="s">
        <v>3</v>
      </c>
      <c r="B184" s="1" t="s">
        <v>12</v>
      </c>
      <c r="C184" s="1">
        <v>50</v>
      </c>
      <c r="D184" s="1">
        <v>21523760.109999999</v>
      </c>
      <c r="E184">
        <v>2152.3760109999998</v>
      </c>
      <c r="F184">
        <v>6.4272791837698264</v>
      </c>
    </row>
    <row r="185" spans="1:6" x14ac:dyDescent="0.3">
      <c r="A185" s="1" t="s">
        <v>10</v>
      </c>
      <c r="B185" s="1" t="s">
        <v>12</v>
      </c>
      <c r="C185" s="1">
        <v>25</v>
      </c>
      <c r="D185" s="1">
        <v>25537927.085000001</v>
      </c>
      <c r="E185">
        <v>2553.7927085000001</v>
      </c>
      <c r="F185">
        <v>7.6259624856993513</v>
      </c>
    </row>
    <row r="186" spans="1:6" x14ac:dyDescent="0.3">
      <c r="A186" s="1" t="s">
        <v>19</v>
      </c>
      <c r="B186" s="1" t="s">
        <v>12</v>
      </c>
      <c r="C186" s="1">
        <v>176</v>
      </c>
      <c r="D186" s="1">
        <v>25578205.5059999</v>
      </c>
      <c r="E186">
        <v>2557.8205505999899</v>
      </c>
      <c r="F186">
        <v>7.6379901544488966</v>
      </c>
    </row>
    <row r="187" spans="1:6" x14ac:dyDescent="0.3">
      <c r="A187" s="1" t="s">
        <v>15</v>
      </c>
      <c r="B187" s="1" t="s">
        <v>12</v>
      </c>
      <c r="C187" s="1">
        <v>208</v>
      </c>
      <c r="D187" s="1">
        <v>30365872.998</v>
      </c>
      <c r="E187">
        <v>3036.5872998</v>
      </c>
      <c r="F187">
        <v>9.0676509317889646</v>
      </c>
    </row>
    <row r="188" spans="1:6" x14ac:dyDescent="0.3">
      <c r="A188" s="1" t="s">
        <v>20</v>
      </c>
      <c r="B188" s="1" t="s">
        <v>12</v>
      </c>
      <c r="C188" s="1">
        <v>535</v>
      </c>
      <c r="D188" s="1">
        <v>54628038.236000001</v>
      </c>
      <c r="E188">
        <v>5462.8038236000002</v>
      </c>
      <c r="F188">
        <v>16.312654072059576</v>
      </c>
    </row>
    <row r="189" spans="1:6" x14ac:dyDescent="0.3">
      <c r="A189" s="1" t="s">
        <v>24</v>
      </c>
      <c r="B189" s="1" t="s">
        <v>12</v>
      </c>
      <c r="C189" s="1">
        <v>798</v>
      </c>
      <c r="D189" s="1">
        <v>56696857.835000001</v>
      </c>
      <c r="E189">
        <v>5669.6857835000001</v>
      </c>
      <c r="F189">
        <v>16.930430941699097</v>
      </c>
    </row>
    <row r="190" spans="1:6" x14ac:dyDescent="0.3">
      <c r="A190" s="1" t="s">
        <v>23</v>
      </c>
      <c r="B190" s="1" t="s">
        <v>12</v>
      </c>
      <c r="C190" s="1">
        <v>502</v>
      </c>
      <c r="D190" s="1">
        <v>65901851.931999996</v>
      </c>
      <c r="E190">
        <v>6590.1851932</v>
      </c>
      <c r="F190">
        <v>19.679163813837217</v>
      </c>
    </row>
    <row r="191" spans="1:6" x14ac:dyDescent="0.3">
      <c r="A191" s="1" t="s">
        <v>7</v>
      </c>
      <c r="B191" s="1" t="s">
        <v>4</v>
      </c>
      <c r="C191" s="1">
        <v>1</v>
      </c>
      <c r="D191" s="1">
        <v>512.54300000000001</v>
      </c>
      <c r="E191">
        <v>5.1254300000000003E-2</v>
      </c>
      <c r="F191">
        <v>1.4367293797886612E-4</v>
      </c>
    </row>
    <row r="192" spans="1:6" x14ac:dyDescent="0.3">
      <c r="A192" s="1" t="s">
        <v>8</v>
      </c>
      <c r="B192" s="1" t="s">
        <v>4</v>
      </c>
      <c r="C192" s="1">
        <v>1</v>
      </c>
      <c r="D192" s="1">
        <v>8204.4410000000007</v>
      </c>
      <c r="E192">
        <v>0.82044410000000012</v>
      </c>
      <c r="F192">
        <v>2.2998190258071349E-3</v>
      </c>
    </row>
    <row r="193" spans="1:6" x14ac:dyDescent="0.3">
      <c r="A193" s="1" t="s">
        <v>3</v>
      </c>
      <c r="B193" s="1" t="s">
        <v>4</v>
      </c>
      <c r="C193" s="1">
        <v>1</v>
      </c>
      <c r="D193" s="1">
        <v>116601.859</v>
      </c>
      <c r="E193">
        <v>11.6601859</v>
      </c>
      <c r="F193">
        <v>3.2685124284845352E-2</v>
      </c>
    </row>
    <row r="194" spans="1:6" x14ac:dyDescent="0.3">
      <c r="A194" s="1" t="s">
        <v>10</v>
      </c>
      <c r="B194" s="1" t="s">
        <v>4</v>
      </c>
      <c r="C194" s="1">
        <v>14</v>
      </c>
      <c r="D194" s="1">
        <v>1600834.764</v>
      </c>
      <c r="E194">
        <v>160.0834764</v>
      </c>
      <c r="F194">
        <v>0.44873626946926359</v>
      </c>
    </row>
    <row r="195" spans="1:6" x14ac:dyDescent="0.3">
      <c r="A195" s="1" t="s">
        <v>5</v>
      </c>
      <c r="B195" s="1" t="s">
        <v>4</v>
      </c>
      <c r="C195" s="1">
        <v>3</v>
      </c>
      <c r="D195" s="1">
        <v>3162562.5350000001</v>
      </c>
      <c r="E195">
        <v>316.25625350000001</v>
      </c>
      <c r="F195">
        <v>0.88651030439463741</v>
      </c>
    </row>
    <row r="196" spans="1:6" x14ac:dyDescent="0.3">
      <c r="A196" s="1" t="s">
        <v>9</v>
      </c>
      <c r="B196" s="1" t="s">
        <v>4</v>
      </c>
      <c r="C196" s="1">
        <v>3</v>
      </c>
      <c r="D196" s="1">
        <v>5360850.49</v>
      </c>
      <c r="E196">
        <v>536.08504900000003</v>
      </c>
      <c r="F196">
        <v>1.5027210204094954</v>
      </c>
    </row>
    <row r="197" spans="1:6" x14ac:dyDescent="0.3">
      <c r="A197" s="1" t="s">
        <v>6</v>
      </c>
      <c r="B197" s="1" t="s">
        <v>4</v>
      </c>
      <c r="C197" s="1">
        <v>8</v>
      </c>
      <c r="D197" s="1">
        <v>346493329.56699997</v>
      </c>
      <c r="E197">
        <v>34649.332956699996</v>
      </c>
      <c r="F197">
        <v>97.126903789477964</v>
      </c>
    </row>
  </sheetData>
  <sortState xmlns:xlrd2="http://schemas.microsoft.com/office/spreadsheetml/2017/richdata2" ref="A2:F197">
    <sortCondition ref="B2:B197"/>
    <sortCondition ref="F2:F1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A198-642D-42FE-B148-1D7374F354EA}">
  <dimension ref="A1:F86"/>
  <sheetViews>
    <sheetView workbookViewId="0">
      <selection activeCell="G11" sqref="G11"/>
    </sheetView>
  </sheetViews>
  <sheetFormatPr defaultColWidth="41.21875" defaultRowHeight="14.4" x14ac:dyDescent="0.3"/>
  <cols>
    <col min="1" max="1" width="41.5546875" bestFit="1" customWidth="1"/>
    <col min="2" max="2" width="23.5546875" bestFit="1" customWidth="1"/>
    <col min="3" max="3" width="5.6640625" bestFit="1" customWidth="1"/>
    <col min="4" max="4" width="11.5546875" bestFit="1" customWidth="1"/>
    <col min="5" max="5" width="13" customWidth="1"/>
    <col min="6" max="6" width="1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54</v>
      </c>
      <c r="E1" s="2" t="s">
        <v>55</v>
      </c>
      <c r="F1" s="2" t="s">
        <v>56</v>
      </c>
    </row>
    <row r="2" spans="1:6" x14ac:dyDescent="0.3">
      <c r="A2" s="1" t="s">
        <v>17</v>
      </c>
      <c r="B2" s="1" t="s">
        <v>53</v>
      </c>
      <c r="C2" s="1">
        <v>248</v>
      </c>
      <c r="D2" s="1">
        <v>20284706.122000001</v>
      </c>
      <c r="E2">
        <v>2028.4706122000002</v>
      </c>
      <c r="F2">
        <v>1.0174336353916495</v>
      </c>
    </row>
    <row r="3" spans="1:6" x14ac:dyDescent="0.3">
      <c r="A3" s="1" t="s">
        <v>20</v>
      </c>
      <c r="B3" s="1" t="s">
        <v>53</v>
      </c>
      <c r="C3" s="1">
        <v>179</v>
      </c>
      <c r="D3" s="1">
        <v>22601620.096999999</v>
      </c>
      <c r="E3">
        <v>2260.1620097</v>
      </c>
      <c r="F3">
        <v>1.1336446465000296</v>
      </c>
    </row>
    <row r="4" spans="1:6" x14ac:dyDescent="0.3">
      <c r="A4" s="1" t="s">
        <v>5</v>
      </c>
      <c r="B4" s="1" t="s">
        <v>53</v>
      </c>
      <c r="C4" s="1">
        <v>79</v>
      </c>
      <c r="D4" s="1">
        <v>28800400.983999901</v>
      </c>
      <c r="E4">
        <v>2880.0400983999903</v>
      </c>
      <c r="F4">
        <v>1.4445610647574487</v>
      </c>
    </row>
    <row r="5" spans="1:6" x14ac:dyDescent="0.3">
      <c r="A5" s="1" t="s">
        <v>41</v>
      </c>
      <c r="B5" s="1" t="s">
        <v>53</v>
      </c>
      <c r="C5" s="1">
        <v>114</v>
      </c>
      <c r="D5" s="1">
        <v>30008349.884999901</v>
      </c>
      <c r="E5">
        <v>3000.8349884999902</v>
      </c>
      <c r="F5">
        <v>1.5051489694734477</v>
      </c>
    </row>
    <row r="6" spans="1:6" x14ac:dyDescent="0.3">
      <c r="A6" s="1" t="s">
        <v>35</v>
      </c>
      <c r="B6" s="1" t="s">
        <v>53</v>
      </c>
      <c r="C6" s="1">
        <v>87</v>
      </c>
      <c r="D6" s="1">
        <v>37964195.592999898</v>
      </c>
      <c r="E6">
        <v>3796.4195592999899</v>
      </c>
      <c r="F6">
        <v>1.9041956686280614</v>
      </c>
    </row>
    <row r="7" spans="1:6" x14ac:dyDescent="0.3">
      <c r="A7" s="1" t="s">
        <v>24</v>
      </c>
      <c r="B7" s="1" t="s">
        <v>53</v>
      </c>
      <c r="C7" s="1">
        <v>1792</v>
      </c>
      <c r="D7" s="1">
        <v>291282097.72000098</v>
      </c>
      <c r="E7">
        <v>29128.209772000097</v>
      </c>
      <c r="F7">
        <v>14.610031904102646</v>
      </c>
    </row>
    <row r="8" spans="1:6" x14ac:dyDescent="0.3">
      <c r="A8" s="1" t="s">
        <v>23</v>
      </c>
      <c r="B8" s="1" t="s">
        <v>53</v>
      </c>
      <c r="C8" s="1">
        <v>2597</v>
      </c>
      <c r="D8" s="1">
        <v>624731827.13099897</v>
      </c>
      <c r="E8">
        <v>62473.182713099894</v>
      </c>
      <c r="F8">
        <v>31.335094045724805</v>
      </c>
    </row>
    <row r="9" spans="1:6" x14ac:dyDescent="0.3">
      <c r="A9" s="1" t="s">
        <v>19</v>
      </c>
      <c r="B9" s="1" t="s">
        <v>53</v>
      </c>
      <c r="C9" s="1">
        <v>705</v>
      </c>
      <c r="D9" s="1">
        <v>862069895.21000099</v>
      </c>
      <c r="E9">
        <v>86206.989521000098</v>
      </c>
      <c r="F9">
        <v>43.239419007108133</v>
      </c>
    </row>
    <row r="10" spans="1:6" x14ac:dyDescent="0.3">
      <c r="A10" s="1" t="s">
        <v>9</v>
      </c>
      <c r="B10" s="1" t="s">
        <v>51</v>
      </c>
      <c r="C10" s="1">
        <v>8</v>
      </c>
      <c r="D10" s="1">
        <v>10967058.2289999</v>
      </c>
      <c r="E10">
        <v>1096.7058228999899</v>
      </c>
      <c r="F10">
        <v>1.1624517296531252</v>
      </c>
    </row>
    <row r="11" spans="1:6" x14ac:dyDescent="0.3">
      <c r="A11" s="1" t="s">
        <v>5</v>
      </c>
      <c r="B11" s="1" t="s">
        <v>51</v>
      </c>
      <c r="C11" s="1">
        <v>99</v>
      </c>
      <c r="D11" s="1">
        <v>11539536.164000001</v>
      </c>
      <c r="E11">
        <v>1153.9536164000001</v>
      </c>
      <c r="F11">
        <v>1.2231314444712167</v>
      </c>
    </row>
    <row r="12" spans="1:6" x14ac:dyDescent="0.3">
      <c r="A12" s="1" t="s">
        <v>29</v>
      </c>
      <c r="B12" s="1" t="s">
        <v>51</v>
      </c>
      <c r="C12" s="1">
        <v>258</v>
      </c>
      <c r="D12" s="1">
        <v>11933596.687000001</v>
      </c>
      <c r="E12">
        <v>1193.3596687000002</v>
      </c>
      <c r="F12">
        <v>1.2648998318531754</v>
      </c>
    </row>
    <row r="13" spans="1:6" x14ac:dyDescent="0.3">
      <c r="A13" s="1" t="s">
        <v>25</v>
      </c>
      <c r="B13" s="1" t="s">
        <v>51</v>
      </c>
      <c r="C13" s="1">
        <v>145</v>
      </c>
      <c r="D13" s="1">
        <v>12195450.4339999</v>
      </c>
      <c r="E13">
        <v>1219.5450433999899</v>
      </c>
      <c r="F13">
        <v>1.2926549813892001</v>
      </c>
    </row>
    <row r="14" spans="1:6" x14ac:dyDescent="0.3">
      <c r="A14" s="1" t="s">
        <v>16</v>
      </c>
      <c r="B14" s="1" t="s">
        <v>51</v>
      </c>
      <c r="C14" s="1">
        <v>159</v>
      </c>
      <c r="D14" s="1">
        <v>13720399.272</v>
      </c>
      <c r="E14">
        <v>1372.0399272</v>
      </c>
      <c r="F14">
        <v>1.4542917099768438</v>
      </c>
    </row>
    <row r="15" spans="1:6" x14ac:dyDescent="0.3">
      <c r="A15" s="1" t="s">
        <v>15</v>
      </c>
      <c r="B15" s="1" t="s">
        <v>51</v>
      </c>
      <c r="C15" s="1">
        <v>132</v>
      </c>
      <c r="D15" s="1">
        <v>20445905.350999899</v>
      </c>
      <c r="E15">
        <v>2044.5905350999899</v>
      </c>
      <c r="F15">
        <v>2.1671607411316991</v>
      </c>
    </row>
    <row r="16" spans="1:6" x14ac:dyDescent="0.3">
      <c r="A16" s="1" t="s">
        <v>40</v>
      </c>
      <c r="B16" s="1" t="s">
        <v>51</v>
      </c>
      <c r="C16" s="1">
        <v>144</v>
      </c>
      <c r="D16" s="1">
        <v>27898471.215999998</v>
      </c>
      <c r="E16">
        <v>2789.8471215999998</v>
      </c>
      <c r="F16">
        <v>2.9570943677459183</v>
      </c>
    </row>
    <row r="17" spans="1:6" x14ac:dyDescent="0.3">
      <c r="A17" s="1" t="s">
        <v>19</v>
      </c>
      <c r="B17" s="1" t="s">
        <v>51</v>
      </c>
      <c r="C17" s="1">
        <v>112</v>
      </c>
      <c r="D17" s="1">
        <v>32191010.754999999</v>
      </c>
      <c r="E17">
        <v>3219.1010754999998</v>
      </c>
      <c r="F17">
        <v>3.4120814670685422</v>
      </c>
    </row>
    <row r="18" spans="1:6" x14ac:dyDescent="0.3">
      <c r="A18" s="1" t="s">
        <v>8</v>
      </c>
      <c r="B18" s="1" t="s">
        <v>51</v>
      </c>
      <c r="C18" s="1">
        <v>199</v>
      </c>
      <c r="D18" s="1">
        <v>32752346.589000002</v>
      </c>
      <c r="E18">
        <v>3275.2346589000003</v>
      </c>
      <c r="F18">
        <v>3.4715801765241125</v>
      </c>
    </row>
    <row r="19" spans="1:6" x14ac:dyDescent="0.3">
      <c r="A19" s="1" t="s">
        <v>3</v>
      </c>
      <c r="B19" s="1" t="s">
        <v>51</v>
      </c>
      <c r="C19" s="1">
        <v>732</v>
      </c>
      <c r="D19" s="1">
        <v>52556072.445</v>
      </c>
      <c r="E19">
        <v>5255.6072445</v>
      </c>
      <c r="F19">
        <v>5.5706731962009872</v>
      </c>
    </row>
    <row r="20" spans="1:6" x14ac:dyDescent="0.3">
      <c r="A20" s="1" t="s">
        <v>17</v>
      </c>
      <c r="B20" s="1" t="s">
        <v>51</v>
      </c>
      <c r="C20" s="1">
        <v>429</v>
      </c>
      <c r="D20" s="1">
        <v>68272245.888999999</v>
      </c>
      <c r="E20">
        <v>6827.2245888999996</v>
      </c>
      <c r="F20">
        <v>7.236506697038732</v>
      </c>
    </row>
    <row r="21" spans="1:6" x14ac:dyDescent="0.3">
      <c r="A21" s="1" t="s">
        <v>24</v>
      </c>
      <c r="B21" s="1" t="s">
        <v>51</v>
      </c>
      <c r="C21" s="1">
        <v>728</v>
      </c>
      <c r="D21" s="1">
        <v>109234801.764999</v>
      </c>
      <c r="E21">
        <v>10923.480176499901</v>
      </c>
      <c r="F21">
        <v>11.57832680365178</v>
      </c>
    </row>
    <row r="22" spans="1:6" x14ac:dyDescent="0.3">
      <c r="A22" s="1" t="s">
        <v>10</v>
      </c>
      <c r="B22" s="1" t="s">
        <v>51</v>
      </c>
      <c r="C22" s="1">
        <v>33</v>
      </c>
      <c r="D22" s="1">
        <v>117332856.395</v>
      </c>
      <c r="E22">
        <v>11733.2856395</v>
      </c>
      <c r="F22">
        <v>12.436678917309573</v>
      </c>
    </row>
    <row r="23" spans="1:6" x14ac:dyDescent="0.3">
      <c r="A23" s="1" t="s">
        <v>20</v>
      </c>
      <c r="B23" s="1" t="s">
        <v>51</v>
      </c>
      <c r="C23" s="1">
        <v>736</v>
      </c>
      <c r="D23" s="1">
        <v>123566267.78999899</v>
      </c>
      <c r="E23">
        <v>12356.6267789999</v>
      </c>
      <c r="F23">
        <v>13.097388444555044</v>
      </c>
    </row>
    <row r="24" spans="1:6" x14ac:dyDescent="0.3">
      <c r="A24" s="1" t="s">
        <v>23</v>
      </c>
      <c r="B24" s="1" t="s">
        <v>51</v>
      </c>
      <c r="C24" s="1">
        <v>560</v>
      </c>
      <c r="D24" s="1">
        <v>271240592.73799902</v>
      </c>
      <c r="E24">
        <v>27124.059273799903</v>
      </c>
      <c r="F24">
        <v>28.750106874300684</v>
      </c>
    </row>
    <row r="25" spans="1:6" x14ac:dyDescent="0.3">
      <c r="A25" s="1" t="s">
        <v>36</v>
      </c>
      <c r="B25" s="1" t="s">
        <v>50</v>
      </c>
      <c r="C25" s="1">
        <v>3</v>
      </c>
      <c r="D25" s="1">
        <v>4692458.0269999998</v>
      </c>
      <c r="E25">
        <v>469.24580269999996</v>
      </c>
      <c r="F25">
        <v>1.1504321039369445</v>
      </c>
    </row>
    <row r="26" spans="1:6" x14ac:dyDescent="0.3">
      <c r="A26" s="1" t="s">
        <v>18</v>
      </c>
      <c r="B26" s="1" t="s">
        <v>50</v>
      </c>
      <c r="C26" s="1">
        <v>49</v>
      </c>
      <c r="D26" s="1">
        <v>5604790.1109999996</v>
      </c>
      <c r="E26">
        <v>560.47901109999998</v>
      </c>
      <c r="F26">
        <v>1.3741050942644288</v>
      </c>
    </row>
    <row r="27" spans="1:6" x14ac:dyDescent="0.3">
      <c r="A27" s="1" t="s">
        <v>9</v>
      </c>
      <c r="B27" s="1" t="s">
        <v>50</v>
      </c>
      <c r="C27" s="1">
        <v>5</v>
      </c>
      <c r="D27" s="1">
        <v>5649019.977</v>
      </c>
      <c r="E27">
        <v>564.90199770000004</v>
      </c>
      <c r="F27">
        <v>1.3849487624456787</v>
      </c>
    </row>
    <row r="28" spans="1:6" x14ac:dyDescent="0.3">
      <c r="A28" s="1" t="s">
        <v>19</v>
      </c>
      <c r="B28" s="1" t="s">
        <v>50</v>
      </c>
      <c r="C28" s="1">
        <v>27</v>
      </c>
      <c r="D28" s="1">
        <v>20653218.1509999</v>
      </c>
      <c r="E28">
        <v>2065.3218150999901</v>
      </c>
      <c r="F28">
        <v>5.0634710153633318</v>
      </c>
    </row>
    <row r="29" spans="1:6" x14ac:dyDescent="0.3">
      <c r="A29" s="1" t="s">
        <v>27</v>
      </c>
      <c r="B29" s="1" t="s">
        <v>50</v>
      </c>
      <c r="C29" s="1">
        <v>2</v>
      </c>
      <c r="D29" s="1">
        <v>34490287.237999998</v>
      </c>
      <c r="E29">
        <v>3449.0287237999996</v>
      </c>
      <c r="F29">
        <v>8.4558526649133263</v>
      </c>
    </row>
    <row r="30" spans="1:6" x14ac:dyDescent="0.3">
      <c r="A30" s="1" t="s">
        <v>23</v>
      </c>
      <c r="B30" s="1" t="s">
        <v>50</v>
      </c>
      <c r="C30" s="1">
        <v>428</v>
      </c>
      <c r="D30" s="1">
        <v>105559178.406</v>
      </c>
      <c r="E30">
        <v>10555.917840600001</v>
      </c>
      <c r="F30">
        <v>25.87954266286927</v>
      </c>
    </row>
    <row r="31" spans="1:6" x14ac:dyDescent="0.3">
      <c r="A31" s="1" t="s">
        <v>24</v>
      </c>
      <c r="B31" s="1" t="s">
        <v>50</v>
      </c>
      <c r="C31" s="1">
        <v>392</v>
      </c>
      <c r="D31" s="1">
        <v>217612131.95100001</v>
      </c>
      <c r="E31">
        <v>21761.213195100001</v>
      </c>
      <c r="F31">
        <v>53.351139501325783</v>
      </c>
    </row>
    <row r="32" spans="1:6" x14ac:dyDescent="0.3">
      <c r="A32" s="1" t="s">
        <v>21</v>
      </c>
      <c r="B32" s="1" t="s">
        <v>48</v>
      </c>
      <c r="C32" s="1">
        <v>241</v>
      </c>
      <c r="D32" s="1">
        <v>21079261.500999998</v>
      </c>
      <c r="E32">
        <v>2107.9261500999996</v>
      </c>
      <c r="F32">
        <v>1.3327584308816398</v>
      </c>
    </row>
    <row r="33" spans="1:6" x14ac:dyDescent="0.3">
      <c r="A33" s="1" t="s">
        <v>22</v>
      </c>
      <c r="B33" s="1" t="s">
        <v>48</v>
      </c>
      <c r="C33" s="1">
        <v>138</v>
      </c>
      <c r="D33" s="1">
        <v>42702595.056999899</v>
      </c>
      <c r="E33">
        <v>4270.2595056999899</v>
      </c>
      <c r="F33">
        <v>2.6999163884390041</v>
      </c>
    </row>
    <row r="34" spans="1:6" x14ac:dyDescent="0.3">
      <c r="A34" s="1" t="s">
        <v>33</v>
      </c>
      <c r="B34" s="1" t="s">
        <v>48</v>
      </c>
      <c r="C34" s="1">
        <v>171</v>
      </c>
      <c r="D34" s="1">
        <v>81364404.072999999</v>
      </c>
      <c r="E34">
        <v>8136.4404072999996</v>
      </c>
      <c r="F34">
        <v>5.1443498386699575</v>
      </c>
    </row>
    <row r="35" spans="1:6" x14ac:dyDescent="0.3">
      <c r="A35" s="1" t="s">
        <v>24</v>
      </c>
      <c r="B35" s="1" t="s">
        <v>48</v>
      </c>
      <c r="C35" s="1">
        <v>918</v>
      </c>
      <c r="D35" s="1">
        <v>103167563.45900001</v>
      </c>
      <c r="E35">
        <v>10316.756345900001</v>
      </c>
      <c r="F35">
        <v>6.5228774730545478</v>
      </c>
    </row>
    <row r="36" spans="1:6" x14ac:dyDescent="0.3">
      <c r="A36" s="1" t="s">
        <v>23</v>
      </c>
      <c r="B36" s="1" t="s">
        <v>48</v>
      </c>
      <c r="C36" s="1">
        <v>154</v>
      </c>
      <c r="D36" s="1">
        <v>191629350.792999</v>
      </c>
      <c r="E36">
        <v>19162.935079299899</v>
      </c>
      <c r="F36">
        <v>12.115966817036201</v>
      </c>
    </row>
    <row r="37" spans="1:6" x14ac:dyDescent="0.3">
      <c r="A37" s="1" t="s">
        <v>34</v>
      </c>
      <c r="B37" s="1" t="s">
        <v>48</v>
      </c>
      <c r="C37" s="1">
        <v>4214</v>
      </c>
      <c r="D37" s="1">
        <v>1111112529.092</v>
      </c>
      <c r="E37">
        <v>111111.2529092</v>
      </c>
      <c r="F37">
        <v>70.251255753686308</v>
      </c>
    </row>
    <row r="38" spans="1:6" x14ac:dyDescent="0.3">
      <c r="A38" s="1" t="s">
        <v>36</v>
      </c>
      <c r="B38" s="1" t="s">
        <v>43</v>
      </c>
      <c r="C38" s="1">
        <v>108</v>
      </c>
      <c r="D38" s="1">
        <v>3538521.64099999</v>
      </c>
      <c r="E38">
        <v>353.85216409999902</v>
      </c>
      <c r="F38">
        <v>1.7407256927322818</v>
      </c>
    </row>
    <row r="39" spans="1:6" x14ac:dyDescent="0.3">
      <c r="A39" s="1" t="s">
        <v>35</v>
      </c>
      <c r="B39" s="1" t="s">
        <v>43</v>
      </c>
      <c r="C39" s="1">
        <v>84</v>
      </c>
      <c r="D39" s="1">
        <v>3564509.7009999901</v>
      </c>
      <c r="E39">
        <v>356.45097009999898</v>
      </c>
      <c r="F39">
        <v>1.753510151423195</v>
      </c>
    </row>
    <row r="40" spans="1:6" x14ac:dyDescent="0.3">
      <c r="A40" s="1" t="s">
        <v>10</v>
      </c>
      <c r="B40" s="1" t="s">
        <v>43</v>
      </c>
      <c r="C40" s="1">
        <v>5</v>
      </c>
      <c r="D40" s="1">
        <v>4512320.8389999997</v>
      </c>
      <c r="E40">
        <v>451.23208389999996</v>
      </c>
      <c r="F40">
        <v>2.2197724403569943</v>
      </c>
    </row>
    <row r="41" spans="1:6" x14ac:dyDescent="0.3">
      <c r="A41" s="1" t="s">
        <v>40</v>
      </c>
      <c r="B41" s="1" t="s">
        <v>43</v>
      </c>
      <c r="C41" s="1">
        <v>10</v>
      </c>
      <c r="D41" s="1">
        <v>4686618.8530000001</v>
      </c>
      <c r="E41">
        <v>468.66188529999999</v>
      </c>
      <c r="F41">
        <v>2.3055158840727348</v>
      </c>
    </row>
    <row r="42" spans="1:6" x14ac:dyDescent="0.3">
      <c r="A42" s="1" t="s">
        <v>17</v>
      </c>
      <c r="B42" s="1" t="s">
        <v>43</v>
      </c>
      <c r="C42" s="1">
        <v>128</v>
      </c>
      <c r="D42" s="1">
        <v>4898953.1069999998</v>
      </c>
      <c r="E42">
        <v>489.89531069999998</v>
      </c>
      <c r="F42">
        <v>2.4099707182900234</v>
      </c>
    </row>
    <row r="43" spans="1:6" x14ac:dyDescent="0.3">
      <c r="A43" s="1" t="s">
        <v>20</v>
      </c>
      <c r="B43" s="1" t="s">
        <v>43</v>
      </c>
      <c r="C43" s="1">
        <v>42</v>
      </c>
      <c r="D43" s="1">
        <v>6283779.5180000002</v>
      </c>
      <c r="E43">
        <v>628.37795180000001</v>
      </c>
      <c r="F43">
        <v>3.0912164921383067</v>
      </c>
    </row>
    <row r="44" spans="1:6" x14ac:dyDescent="0.3">
      <c r="A44" s="1" t="s">
        <v>21</v>
      </c>
      <c r="B44" s="1" t="s">
        <v>43</v>
      </c>
      <c r="C44" s="1">
        <v>28</v>
      </c>
      <c r="D44" s="1">
        <v>7989281.6780000003</v>
      </c>
      <c r="E44">
        <v>798.92816779999998</v>
      </c>
      <c r="F44">
        <v>3.930214166908331</v>
      </c>
    </row>
    <row r="45" spans="1:6" x14ac:dyDescent="0.3">
      <c r="A45" s="1" t="s">
        <v>9</v>
      </c>
      <c r="B45" s="1" t="s">
        <v>43</v>
      </c>
      <c r="C45" s="1">
        <v>17</v>
      </c>
      <c r="D45" s="1">
        <v>8112428.8969999999</v>
      </c>
      <c r="E45">
        <v>811.24288969999998</v>
      </c>
      <c r="F45">
        <v>3.9907947002073301</v>
      </c>
    </row>
    <row r="46" spans="1:6" x14ac:dyDescent="0.3">
      <c r="A46" s="1" t="s">
        <v>3</v>
      </c>
      <c r="B46" s="1" t="s">
        <v>43</v>
      </c>
      <c r="C46" s="1">
        <v>147</v>
      </c>
      <c r="D46" s="1">
        <v>11937638.254000001</v>
      </c>
      <c r="E46">
        <v>1193.7638254000001</v>
      </c>
      <c r="F46">
        <v>5.8725523615588351</v>
      </c>
    </row>
    <row r="47" spans="1:6" x14ac:dyDescent="0.3">
      <c r="A47" s="1" t="s">
        <v>24</v>
      </c>
      <c r="B47" s="1" t="s">
        <v>43</v>
      </c>
      <c r="C47" s="1">
        <v>143</v>
      </c>
      <c r="D47" s="1">
        <v>66404792.239999898</v>
      </c>
      <c r="E47">
        <v>6640.4792239999897</v>
      </c>
      <c r="F47">
        <v>32.66689869389932</v>
      </c>
    </row>
    <row r="48" spans="1:6" x14ac:dyDescent="0.3">
      <c r="A48" s="1" t="s">
        <v>23</v>
      </c>
      <c r="B48" s="1" t="s">
        <v>43</v>
      </c>
      <c r="C48" s="1">
        <v>240</v>
      </c>
      <c r="D48" s="1">
        <v>76584179.988999993</v>
      </c>
      <c r="E48">
        <v>7658.4179988999995</v>
      </c>
      <c r="F48">
        <v>37.674504578135526</v>
      </c>
    </row>
    <row r="49" spans="1:6" x14ac:dyDescent="0.3">
      <c r="A49" s="1" t="s">
        <v>33</v>
      </c>
      <c r="B49" s="1" t="s">
        <v>38</v>
      </c>
      <c r="C49" s="1">
        <v>338</v>
      </c>
      <c r="D49" s="1">
        <v>14493132.438999901</v>
      </c>
      <c r="E49">
        <v>1449.3132438999901</v>
      </c>
      <c r="F49">
        <v>1.1586173410176797</v>
      </c>
    </row>
    <row r="50" spans="1:6" x14ac:dyDescent="0.3">
      <c r="A50" s="1" t="s">
        <v>16</v>
      </c>
      <c r="B50" s="1" t="s">
        <v>38</v>
      </c>
      <c r="C50" s="1">
        <v>9</v>
      </c>
      <c r="D50" s="1">
        <v>14734771.288000001</v>
      </c>
      <c r="E50">
        <v>1473.4771288000002</v>
      </c>
      <c r="F50">
        <v>1.1779345563880228</v>
      </c>
    </row>
    <row r="51" spans="1:6" x14ac:dyDescent="0.3">
      <c r="A51" s="1" t="s">
        <v>5</v>
      </c>
      <c r="B51" s="1" t="s">
        <v>38</v>
      </c>
      <c r="C51" s="1">
        <v>18</v>
      </c>
      <c r="D51" s="1">
        <v>16590006.982000001</v>
      </c>
      <c r="E51">
        <v>1659.0006982</v>
      </c>
      <c r="F51">
        <v>1.3262467487860725</v>
      </c>
    </row>
    <row r="52" spans="1:6" x14ac:dyDescent="0.3">
      <c r="A52" s="1" t="s">
        <v>8</v>
      </c>
      <c r="B52" s="1" t="s">
        <v>38</v>
      </c>
      <c r="C52" s="1">
        <v>67</v>
      </c>
      <c r="D52" s="1">
        <v>18546223.469999898</v>
      </c>
      <c r="E52">
        <v>1854.6223469999898</v>
      </c>
      <c r="F52">
        <v>1.482631599012266</v>
      </c>
    </row>
    <row r="53" spans="1:6" x14ac:dyDescent="0.3">
      <c r="A53" s="1" t="s">
        <v>36</v>
      </c>
      <c r="B53" s="1" t="s">
        <v>38</v>
      </c>
      <c r="C53" s="1">
        <v>62</v>
      </c>
      <c r="D53" s="1">
        <v>43825180.402000003</v>
      </c>
      <c r="E53">
        <v>4382.5180402000005</v>
      </c>
      <c r="F53">
        <v>3.5034947897356838</v>
      </c>
    </row>
    <row r="54" spans="1:6" x14ac:dyDescent="0.3">
      <c r="A54" s="1" t="s">
        <v>19</v>
      </c>
      <c r="B54" s="1" t="s">
        <v>38</v>
      </c>
      <c r="C54" s="1">
        <v>625</v>
      </c>
      <c r="D54" s="1">
        <v>124180157.691999</v>
      </c>
      <c r="E54">
        <v>12418.015769199901</v>
      </c>
      <c r="F54">
        <v>9.927273121792318</v>
      </c>
    </row>
    <row r="55" spans="1:6" x14ac:dyDescent="0.3">
      <c r="A55" s="1" t="s">
        <v>23</v>
      </c>
      <c r="B55" s="1" t="s">
        <v>38</v>
      </c>
      <c r="C55" s="1">
        <v>2850</v>
      </c>
      <c r="D55" s="1">
        <v>246868746.77499899</v>
      </c>
      <c r="E55">
        <v>24686.874677499898</v>
      </c>
      <c r="F55">
        <v>19.735306509663928</v>
      </c>
    </row>
    <row r="56" spans="1:6" x14ac:dyDescent="0.3">
      <c r="A56" s="1" t="s">
        <v>24</v>
      </c>
      <c r="B56" s="1" t="s">
        <v>38</v>
      </c>
      <c r="C56" s="1">
        <v>2941</v>
      </c>
      <c r="D56" s="1">
        <v>301596893.41199899</v>
      </c>
      <c r="E56">
        <v>30159.689341199897</v>
      </c>
      <c r="F56">
        <v>24.110411753631613</v>
      </c>
    </row>
    <row r="57" spans="1:6" x14ac:dyDescent="0.3">
      <c r="A57" s="1" t="s">
        <v>20</v>
      </c>
      <c r="B57" s="1" t="s">
        <v>38</v>
      </c>
      <c r="C57" s="1">
        <v>1026</v>
      </c>
      <c r="D57" s="1">
        <v>420758152.58899999</v>
      </c>
      <c r="E57">
        <v>42075.815258900002</v>
      </c>
      <c r="F57">
        <v>33.636461545908439</v>
      </c>
    </row>
    <row r="58" spans="1:6" x14ac:dyDescent="0.3">
      <c r="A58" s="1" t="s">
        <v>22</v>
      </c>
      <c r="B58" s="1" t="s">
        <v>31</v>
      </c>
      <c r="C58" s="1">
        <v>203</v>
      </c>
      <c r="D58" s="1">
        <v>23169680.304999899</v>
      </c>
      <c r="E58">
        <v>2316.9680304999897</v>
      </c>
      <c r="F58">
        <v>1.1331732027195764</v>
      </c>
    </row>
    <row r="59" spans="1:6" x14ac:dyDescent="0.3">
      <c r="A59" s="1" t="s">
        <v>18</v>
      </c>
      <c r="B59" s="1" t="s">
        <v>31</v>
      </c>
      <c r="C59" s="1">
        <v>71</v>
      </c>
      <c r="D59" s="1">
        <v>25896871.017999999</v>
      </c>
      <c r="E59">
        <v>2589.6871017999997</v>
      </c>
      <c r="F59">
        <v>1.2665535253652247</v>
      </c>
    </row>
    <row r="60" spans="1:6" x14ac:dyDescent="0.3">
      <c r="A60" s="1" t="s">
        <v>36</v>
      </c>
      <c r="B60" s="1" t="s">
        <v>31</v>
      </c>
      <c r="C60" s="1">
        <v>48</v>
      </c>
      <c r="D60" s="1">
        <v>51496274.192999899</v>
      </c>
      <c r="E60">
        <v>5149.6274192999899</v>
      </c>
      <c r="F60">
        <v>2.5185586157101456</v>
      </c>
    </row>
    <row r="61" spans="1:6" x14ac:dyDescent="0.3">
      <c r="A61" s="1" t="s">
        <v>33</v>
      </c>
      <c r="B61" s="1" t="s">
        <v>31</v>
      </c>
      <c r="C61" s="1">
        <v>1017</v>
      </c>
      <c r="D61" s="1">
        <v>135805656.45099899</v>
      </c>
      <c r="E61">
        <v>13580.565645099899</v>
      </c>
      <c r="F61">
        <v>6.6419272360354524</v>
      </c>
    </row>
    <row r="62" spans="1:6" x14ac:dyDescent="0.3">
      <c r="A62" s="1" t="s">
        <v>19</v>
      </c>
      <c r="B62" s="1" t="s">
        <v>31</v>
      </c>
      <c r="C62" s="1">
        <v>307</v>
      </c>
      <c r="D62" s="1">
        <v>154850599.313999</v>
      </c>
      <c r="E62">
        <v>15485.059931399899</v>
      </c>
      <c r="F62">
        <v>7.5733694750127398</v>
      </c>
    </row>
    <row r="63" spans="1:6" x14ac:dyDescent="0.3">
      <c r="A63" s="1" t="s">
        <v>8</v>
      </c>
      <c r="B63" s="1" t="s">
        <v>31</v>
      </c>
      <c r="C63" s="1">
        <v>61</v>
      </c>
      <c r="D63" s="1">
        <v>181651573.248</v>
      </c>
      <c r="E63">
        <v>18165.157324799999</v>
      </c>
      <c r="F63">
        <v>8.8841404942504134</v>
      </c>
    </row>
    <row r="64" spans="1:6" x14ac:dyDescent="0.3">
      <c r="A64" s="1" t="s">
        <v>34</v>
      </c>
      <c r="B64" s="1" t="s">
        <v>31</v>
      </c>
      <c r="C64" s="1">
        <v>1672</v>
      </c>
      <c r="D64" s="1">
        <v>322249495.11199898</v>
      </c>
      <c r="E64">
        <v>32224.949511199899</v>
      </c>
      <c r="F64">
        <v>15.760445877711563</v>
      </c>
    </row>
    <row r="65" spans="1:6" x14ac:dyDescent="0.3">
      <c r="A65" s="1" t="s">
        <v>24</v>
      </c>
      <c r="B65" s="1" t="s">
        <v>31</v>
      </c>
      <c r="C65" s="1">
        <v>2347</v>
      </c>
      <c r="D65" s="1">
        <v>411960436.515001</v>
      </c>
      <c r="E65">
        <v>41196.043651500098</v>
      </c>
      <c r="F65">
        <v>20.147991732916594</v>
      </c>
    </row>
    <row r="66" spans="1:6" x14ac:dyDescent="0.3">
      <c r="A66" s="1" t="s">
        <v>23</v>
      </c>
      <c r="B66" s="1" t="s">
        <v>31</v>
      </c>
      <c r="C66" s="1">
        <v>2468</v>
      </c>
      <c r="D66" s="1">
        <v>672888351.61399996</v>
      </c>
      <c r="E66">
        <v>67288.835161399998</v>
      </c>
      <c r="F66">
        <v>32.909346975607143</v>
      </c>
    </row>
    <row r="67" spans="1:6" x14ac:dyDescent="0.3">
      <c r="A67" s="1" t="s">
        <v>8</v>
      </c>
      <c r="B67" s="1" t="s">
        <v>30</v>
      </c>
      <c r="C67" s="1">
        <v>25</v>
      </c>
      <c r="D67" s="1">
        <v>13822358.778999999</v>
      </c>
      <c r="E67">
        <v>1382.2358778999999</v>
      </c>
      <c r="F67">
        <v>1.9158032224696004</v>
      </c>
    </row>
    <row r="68" spans="1:6" x14ac:dyDescent="0.3">
      <c r="A68" s="1" t="s">
        <v>9</v>
      </c>
      <c r="B68" s="1" t="s">
        <v>30</v>
      </c>
      <c r="C68" s="1">
        <v>22</v>
      </c>
      <c r="D68" s="1">
        <v>48389398.245999999</v>
      </c>
      <c r="E68">
        <v>4838.9398246000001</v>
      </c>
      <c r="F68">
        <v>6.7068556514316215</v>
      </c>
    </row>
    <row r="69" spans="1:6" x14ac:dyDescent="0.3">
      <c r="A69" s="1" t="s">
        <v>10</v>
      </c>
      <c r="B69" s="1" t="s">
        <v>30</v>
      </c>
      <c r="C69" s="1">
        <v>7</v>
      </c>
      <c r="D69" s="1">
        <v>102718378.91599999</v>
      </c>
      <c r="E69">
        <v>10271.8378916</v>
      </c>
      <c r="F69">
        <v>14.236947866893903</v>
      </c>
    </row>
    <row r="70" spans="1:6" x14ac:dyDescent="0.3">
      <c r="A70" s="1" t="s">
        <v>5</v>
      </c>
      <c r="B70" s="1" t="s">
        <v>30</v>
      </c>
      <c r="C70" s="1">
        <v>166</v>
      </c>
      <c r="D70" s="1">
        <v>166225689.77900001</v>
      </c>
      <c r="E70">
        <v>16622.568977900002</v>
      </c>
      <c r="F70">
        <v>23.039172779950047</v>
      </c>
    </row>
    <row r="71" spans="1:6" x14ac:dyDescent="0.3">
      <c r="A71" s="1" t="s">
        <v>6</v>
      </c>
      <c r="B71" s="1" t="s">
        <v>30</v>
      </c>
      <c r="C71" s="1">
        <v>161</v>
      </c>
      <c r="D71" s="1">
        <v>383878540.06</v>
      </c>
      <c r="E71">
        <v>38387.854006000001</v>
      </c>
      <c r="F71">
        <v>53.206240399518833</v>
      </c>
    </row>
    <row r="72" spans="1:6" x14ac:dyDescent="0.3">
      <c r="A72" s="1" t="s">
        <v>16</v>
      </c>
      <c r="B72" s="1" t="s">
        <v>12</v>
      </c>
      <c r="C72" s="1">
        <v>154</v>
      </c>
      <c r="D72" s="1">
        <v>3445334.26</v>
      </c>
      <c r="E72">
        <v>344.53342599999996</v>
      </c>
      <c r="F72">
        <v>1.028822336676146</v>
      </c>
    </row>
    <row r="73" spans="1:6" x14ac:dyDescent="0.3">
      <c r="A73" s="1" t="s">
        <v>8</v>
      </c>
      <c r="B73" s="1" t="s">
        <v>12</v>
      </c>
      <c r="C73" s="1">
        <v>67</v>
      </c>
      <c r="D73" s="1">
        <v>6868638.9050000003</v>
      </c>
      <c r="E73">
        <v>686.86389050000002</v>
      </c>
      <c r="F73">
        <v>2.0510663392140027</v>
      </c>
    </row>
    <row r="74" spans="1:6" x14ac:dyDescent="0.3">
      <c r="A74" s="1" t="s">
        <v>13</v>
      </c>
      <c r="B74" s="1" t="s">
        <v>12</v>
      </c>
      <c r="C74" s="1">
        <v>60</v>
      </c>
      <c r="D74" s="1">
        <v>7390994.9279999901</v>
      </c>
      <c r="E74">
        <v>739.09949279999898</v>
      </c>
      <c r="F74">
        <v>2.2070487500932616</v>
      </c>
    </row>
    <row r="75" spans="1:6" x14ac:dyDescent="0.3">
      <c r="A75" s="1" t="s">
        <v>26</v>
      </c>
      <c r="B75" s="1" t="s">
        <v>12</v>
      </c>
      <c r="C75" s="1">
        <v>23</v>
      </c>
      <c r="D75" s="1">
        <v>8387766.557</v>
      </c>
      <c r="E75">
        <v>838.77665569999999</v>
      </c>
      <c r="F75">
        <v>2.5046979298510128</v>
      </c>
    </row>
    <row r="76" spans="1:6" x14ac:dyDescent="0.3">
      <c r="A76" s="1" t="s">
        <v>25</v>
      </c>
      <c r="B76" s="1" t="s">
        <v>12</v>
      </c>
      <c r="C76" s="1">
        <v>338</v>
      </c>
      <c r="D76" s="1">
        <v>9591614.9569999892</v>
      </c>
      <c r="E76">
        <v>959.16149569999891</v>
      </c>
      <c r="F76">
        <v>2.8641829697414032</v>
      </c>
    </row>
    <row r="77" spans="1:6" x14ac:dyDescent="0.3">
      <c r="A77" s="1" t="s">
        <v>17</v>
      </c>
      <c r="B77" s="1" t="s">
        <v>12</v>
      </c>
      <c r="C77" s="1">
        <v>138</v>
      </c>
      <c r="D77" s="1">
        <v>14653337.7179999</v>
      </c>
      <c r="E77">
        <v>1465.33377179999</v>
      </c>
      <c r="F77">
        <v>4.3756802717706007</v>
      </c>
    </row>
    <row r="78" spans="1:6" x14ac:dyDescent="0.3">
      <c r="A78" s="1" t="s">
        <v>3</v>
      </c>
      <c r="B78" s="1" t="s">
        <v>12</v>
      </c>
      <c r="C78" s="1">
        <v>50</v>
      </c>
      <c r="D78" s="1">
        <v>21523760.109999999</v>
      </c>
      <c r="E78">
        <v>2152.3760109999998</v>
      </c>
      <c r="F78">
        <v>6.4272791837698264</v>
      </c>
    </row>
    <row r="79" spans="1:6" x14ac:dyDescent="0.3">
      <c r="A79" s="1" t="s">
        <v>10</v>
      </c>
      <c r="B79" s="1" t="s">
        <v>12</v>
      </c>
      <c r="C79" s="1">
        <v>25</v>
      </c>
      <c r="D79" s="1">
        <v>25537927.085000001</v>
      </c>
      <c r="E79">
        <v>2553.7927085000001</v>
      </c>
      <c r="F79">
        <v>7.6259624856993513</v>
      </c>
    </row>
    <row r="80" spans="1:6" x14ac:dyDescent="0.3">
      <c r="A80" s="1" t="s">
        <v>19</v>
      </c>
      <c r="B80" s="1" t="s">
        <v>12</v>
      </c>
      <c r="C80" s="1">
        <v>176</v>
      </c>
      <c r="D80" s="1">
        <v>25578205.5059999</v>
      </c>
      <c r="E80">
        <v>2557.8205505999899</v>
      </c>
      <c r="F80">
        <v>7.6379901544488966</v>
      </c>
    </row>
    <row r="81" spans="1:6" x14ac:dyDescent="0.3">
      <c r="A81" s="1" t="s">
        <v>15</v>
      </c>
      <c r="B81" s="1" t="s">
        <v>12</v>
      </c>
      <c r="C81" s="1">
        <v>208</v>
      </c>
      <c r="D81" s="1">
        <v>30365872.998</v>
      </c>
      <c r="E81">
        <v>3036.5872998</v>
      </c>
      <c r="F81">
        <v>9.0676509317889646</v>
      </c>
    </row>
    <row r="82" spans="1:6" x14ac:dyDescent="0.3">
      <c r="A82" s="1" t="s">
        <v>20</v>
      </c>
      <c r="B82" s="1" t="s">
        <v>12</v>
      </c>
      <c r="C82" s="1">
        <v>535</v>
      </c>
      <c r="D82" s="1">
        <v>54628038.236000001</v>
      </c>
      <c r="E82">
        <v>5462.8038236000002</v>
      </c>
      <c r="F82">
        <v>16.312654072059576</v>
      </c>
    </row>
    <row r="83" spans="1:6" x14ac:dyDescent="0.3">
      <c r="A83" s="1" t="s">
        <v>24</v>
      </c>
      <c r="B83" s="1" t="s">
        <v>12</v>
      </c>
      <c r="C83" s="1">
        <v>798</v>
      </c>
      <c r="D83" s="1">
        <v>56696857.835000001</v>
      </c>
      <c r="E83">
        <v>5669.6857835000001</v>
      </c>
      <c r="F83">
        <v>16.930430941699097</v>
      </c>
    </row>
    <row r="84" spans="1:6" x14ac:dyDescent="0.3">
      <c r="A84" s="1" t="s">
        <v>23</v>
      </c>
      <c r="B84" s="1" t="s">
        <v>12</v>
      </c>
      <c r="C84" s="1">
        <v>502</v>
      </c>
      <c r="D84" s="1">
        <v>65901851.931999996</v>
      </c>
      <c r="E84">
        <v>6590.1851932</v>
      </c>
      <c r="F84">
        <v>19.679163813837217</v>
      </c>
    </row>
    <row r="85" spans="1:6" x14ac:dyDescent="0.3">
      <c r="A85" s="1" t="s">
        <v>9</v>
      </c>
      <c r="B85" s="1" t="s">
        <v>4</v>
      </c>
      <c r="C85" s="1">
        <v>3</v>
      </c>
      <c r="D85" s="1">
        <v>5360850.49</v>
      </c>
      <c r="E85">
        <v>536.08504900000003</v>
      </c>
      <c r="F85">
        <v>1.5027210204094954</v>
      </c>
    </row>
    <row r="86" spans="1:6" x14ac:dyDescent="0.3">
      <c r="A86" s="1" t="s">
        <v>6</v>
      </c>
      <c r="B86" s="1" t="s">
        <v>4</v>
      </c>
      <c r="C86" s="1">
        <v>8</v>
      </c>
      <c r="D86" s="1">
        <v>346493329.56699997</v>
      </c>
      <c r="E86">
        <v>34649.332956699996</v>
      </c>
      <c r="F86">
        <v>97.126903789477964</v>
      </c>
    </row>
  </sheetData>
  <sortState xmlns:xlrd2="http://schemas.microsoft.com/office/spreadsheetml/2017/richdata2" ref="A2:W198">
    <sortCondition ref="B2:B1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A862-C339-4AFF-9AAD-F067D5E20D87}">
  <dimension ref="A1:E53"/>
  <sheetViews>
    <sheetView tabSelected="1" topLeftCell="B1" workbookViewId="0">
      <selection activeCell="G2" sqref="G2"/>
    </sheetView>
  </sheetViews>
  <sheetFormatPr defaultColWidth="41.21875" defaultRowHeight="14.4" x14ac:dyDescent="0.3"/>
  <cols>
    <col min="1" max="1" width="41.5546875" bestFit="1" customWidth="1"/>
    <col min="2" max="2" width="23.5546875" bestFit="1" customWidth="1"/>
    <col min="3" max="3" width="11.5546875" bestFit="1" customWidth="1"/>
    <col min="4" max="4" width="13" customWidth="1"/>
    <col min="5" max="5" width="12.109375" customWidth="1"/>
  </cols>
  <sheetData>
    <row r="1" spans="1:5" x14ac:dyDescent="0.3">
      <c r="A1" s="1" t="s">
        <v>0</v>
      </c>
      <c r="B1" s="1" t="s">
        <v>1</v>
      </c>
      <c r="C1" s="1" t="s">
        <v>54</v>
      </c>
      <c r="D1" s="2" t="s">
        <v>55</v>
      </c>
      <c r="E1" s="2" t="s">
        <v>56</v>
      </c>
    </row>
    <row r="2" spans="1:5" x14ac:dyDescent="0.3">
      <c r="A2" s="1" t="s">
        <v>24</v>
      </c>
      <c r="B2" s="1" t="s">
        <v>53</v>
      </c>
      <c r="C2" s="1">
        <v>291282097.72000098</v>
      </c>
      <c r="D2">
        <v>29128.209772000097</v>
      </c>
      <c r="E2">
        <v>14.610031904102646</v>
      </c>
    </row>
    <row r="3" spans="1:5" x14ac:dyDescent="0.3">
      <c r="A3" s="1" t="s">
        <v>23</v>
      </c>
      <c r="B3" s="1" t="s">
        <v>53</v>
      </c>
      <c r="C3" s="1">
        <v>624731827.13099897</v>
      </c>
      <c r="D3">
        <v>62473.182713099894</v>
      </c>
      <c r="E3">
        <v>31.335094045724805</v>
      </c>
    </row>
    <row r="4" spans="1:5" x14ac:dyDescent="0.3">
      <c r="A4" s="1" t="s">
        <v>19</v>
      </c>
      <c r="B4" s="1" t="s">
        <v>53</v>
      </c>
      <c r="C4" s="1">
        <v>862069895.21000099</v>
      </c>
      <c r="D4">
        <v>86206.989521000098</v>
      </c>
      <c r="E4">
        <v>43.239419007108133</v>
      </c>
    </row>
    <row r="5" spans="1:5" x14ac:dyDescent="0.3">
      <c r="A5" s="1" t="s">
        <v>57</v>
      </c>
      <c r="B5" s="1" t="s">
        <v>53</v>
      </c>
      <c r="C5" s="1">
        <v>215629127.53499991</v>
      </c>
      <c r="D5">
        <v>21562.91275349999</v>
      </c>
      <c r="E5">
        <v>10.815455043064418</v>
      </c>
    </row>
    <row r="6" spans="1:5" x14ac:dyDescent="0.3">
      <c r="A6" s="1" t="s">
        <v>3</v>
      </c>
      <c r="B6" s="1" t="s">
        <v>51</v>
      </c>
      <c r="C6" s="1">
        <v>52556072.445</v>
      </c>
      <c r="D6">
        <v>5255.6072445</v>
      </c>
      <c r="E6">
        <v>5.5706731962009872</v>
      </c>
    </row>
    <row r="7" spans="1:5" x14ac:dyDescent="0.3">
      <c r="A7" s="1" t="s">
        <v>17</v>
      </c>
      <c r="B7" s="1" t="s">
        <v>51</v>
      </c>
      <c r="C7" s="1">
        <v>68272245.888999999</v>
      </c>
      <c r="D7">
        <v>6827.2245888999996</v>
      </c>
      <c r="E7">
        <v>7.236506697038732</v>
      </c>
    </row>
    <row r="8" spans="1:5" x14ac:dyDescent="0.3">
      <c r="A8" s="1" t="s">
        <v>24</v>
      </c>
      <c r="B8" s="1" t="s">
        <v>51</v>
      </c>
      <c r="C8" s="1">
        <v>109234801.764999</v>
      </c>
      <c r="D8">
        <v>10923.480176499901</v>
      </c>
      <c r="E8">
        <v>11.57832680365178</v>
      </c>
    </row>
    <row r="9" spans="1:5" x14ac:dyDescent="0.3">
      <c r="A9" s="1" t="s">
        <v>10</v>
      </c>
      <c r="B9" s="1" t="s">
        <v>51</v>
      </c>
      <c r="C9" s="1">
        <v>117332856.395</v>
      </c>
      <c r="D9">
        <v>11733.2856395</v>
      </c>
      <c r="E9">
        <v>12.436678917309573</v>
      </c>
    </row>
    <row r="10" spans="1:5" x14ac:dyDescent="0.3">
      <c r="A10" s="1" t="s">
        <v>20</v>
      </c>
      <c r="B10" s="1" t="s">
        <v>51</v>
      </c>
      <c r="C10" s="1">
        <v>123566267.78999899</v>
      </c>
      <c r="D10">
        <v>12356.6267789999</v>
      </c>
      <c r="E10">
        <v>13.097388444555044</v>
      </c>
    </row>
    <row r="11" spans="1:5" x14ac:dyDescent="0.3">
      <c r="A11" s="1" t="s">
        <v>23</v>
      </c>
      <c r="B11" s="1" t="s">
        <v>51</v>
      </c>
      <c r="C11" s="1">
        <v>271240592.73799902</v>
      </c>
      <c r="D11">
        <v>27124.059273799903</v>
      </c>
      <c r="E11">
        <v>28.750106874300684</v>
      </c>
    </row>
    <row r="12" spans="1:5" x14ac:dyDescent="0.3">
      <c r="A12" s="1" t="s">
        <v>57</v>
      </c>
      <c r="B12" s="1" t="s">
        <v>51</v>
      </c>
      <c r="C12" s="1">
        <v>201239195.81599963</v>
      </c>
      <c r="D12">
        <v>20123.919581599963</v>
      </c>
      <c r="E12">
        <v>21.33031906694319</v>
      </c>
    </row>
    <row r="13" spans="1:5" x14ac:dyDescent="0.3">
      <c r="A13" s="1" t="s">
        <v>19</v>
      </c>
      <c r="B13" s="1" t="s">
        <v>50</v>
      </c>
      <c r="C13" s="1">
        <v>20653218.1509999</v>
      </c>
      <c r="D13">
        <v>2065.3218150999901</v>
      </c>
      <c r="E13">
        <v>5.0634710153633318</v>
      </c>
    </row>
    <row r="14" spans="1:5" x14ac:dyDescent="0.3">
      <c r="A14" s="1" t="s">
        <v>27</v>
      </c>
      <c r="B14" s="1" t="s">
        <v>50</v>
      </c>
      <c r="C14" s="1">
        <v>34490287.237999998</v>
      </c>
      <c r="D14">
        <v>3449.0287237999996</v>
      </c>
      <c r="E14">
        <v>8.4558526649133263</v>
      </c>
    </row>
    <row r="15" spans="1:5" x14ac:dyDescent="0.3">
      <c r="A15" s="1" t="s">
        <v>23</v>
      </c>
      <c r="B15" s="1" t="s">
        <v>50</v>
      </c>
      <c r="C15" s="1">
        <v>105559178.406</v>
      </c>
      <c r="D15">
        <v>10555.917840600001</v>
      </c>
      <c r="E15">
        <v>25.87954266286927</v>
      </c>
    </row>
    <row r="16" spans="1:5" x14ac:dyDescent="0.3">
      <c r="A16" s="1" t="s">
        <v>24</v>
      </c>
      <c r="B16" s="1" t="s">
        <v>50</v>
      </c>
      <c r="C16" s="1">
        <v>217612131.95100001</v>
      </c>
      <c r="D16">
        <v>21761.213195100001</v>
      </c>
      <c r="E16">
        <v>53.351139501325783</v>
      </c>
    </row>
    <row r="17" spans="1:5" x14ac:dyDescent="0.3">
      <c r="A17" s="1" t="s">
        <v>57</v>
      </c>
      <c r="B17" s="1" t="s">
        <v>50</v>
      </c>
      <c r="C17" s="1">
        <v>29571752.347999945</v>
      </c>
      <c r="D17">
        <v>2957.1752347999945</v>
      </c>
      <c r="E17">
        <v>7.2499941555282987</v>
      </c>
    </row>
    <row r="18" spans="1:5" x14ac:dyDescent="0.3">
      <c r="A18" s="1" t="s">
        <v>33</v>
      </c>
      <c r="B18" s="1" t="s">
        <v>48</v>
      </c>
      <c r="C18" s="1">
        <v>81364404.072999999</v>
      </c>
      <c r="D18">
        <v>8136.4404072999996</v>
      </c>
      <c r="E18">
        <v>5.1443498386699575</v>
      </c>
    </row>
    <row r="19" spans="1:5" x14ac:dyDescent="0.3">
      <c r="A19" s="1" t="s">
        <v>24</v>
      </c>
      <c r="B19" s="1" t="s">
        <v>48</v>
      </c>
      <c r="C19" s="1">
        <v>103167563.45900001</v>
      </c>
      <c r="D19">
        <v>10316.756345900001</v>
      </c>
      <c r="E19">
        <v>6.5228774730545478</v>
      </c>
    </row>
    <row r="20" spans="1:5" x14ac:dyDescent="0.3">
      <c r="A20" s="1" t="s">
        <v>23</v>
      </c>
      <c r="B20" s="1" t="s">
        <v>48</v>
      </c>
      <c r="C20" s="1">
        <v>191629350.792999</v>
      </c>
      <c r="D20">
        <v>19162.935079299899</v>
      </c>
      <c r="E20">
        <v>12.115966817036201</v>
      </c>
    </row>
    <row r="21" spans="1:5" x14ac:dyDescent="0.3">
      <c r="A21" s="1" t="s">
        <v>34</v>
      </c>
      <c r="B21" s="1" t="s">
        <v>48</v>
      </c>
      <c r="C21" s="1">
        <v>1111112529.092</v>
      </c>
      <c r="D21">
        <v>111111.2529092</v>
      </c>
      <c r="E21">
        <v>70.251255753686308</v>
      </c>
    </row>
    <row r="22" spans="1:5" x14ac:dyDescent="0.3">
      <c r="A22" s="1" t="s">
        <v>57</v>
      </c>
      <c r="B22" s="1" t="s">
        <v>48</v>
      </c>
      <c r="C22" s="1">
        <v>94352725.904000252</v>
      </c>
      <c r="D22">
        <v>9435.2725904000254</v>
      </c>
      <c r="E22">
        <v>5.9655501175529935</v>
      </c>
    </row>
    <row r="23" spans="1:5" x14ac:dyDescent="0.3">
      <c r="A23" s="1" t="s">
        <v>3</v>
      </c>
      <c r="B23" s="1" t="s">
        <v>43</v>
      </c>
      <c r="C23" s="1">
        <v>11937638.254000001</v>
      </c>
      <c r="D23">
        <v>1193.7638254000001</v>
      </c>
      <c r="E23">
        <v>5.8725523615588351</v>
      </c>
    </row>
    <row r="24" spans="1:5" x14ac:dyDescent="0.3">
      <c r="A24" s="1" t="s">
        <v>24</v>
      </c>
      <c r="B24" s="1" t="s">
        <v>43</v>
      </c>
      <c r="C24" s="1">
        <v>66404792.239999898</v>
      </c>
      <c r="D24">
        <v>6640.4792239999897</v>
      </c>
      <c r="E24">
        <v>32.66689869389932</v>
      </c>
    </row>
    <row r="25" spans="1:5" x14ac:dyDescent="0.3">
      <c r="A25" s="1" t="s">
        <v>23</v>
      </c>
      <c r="B25" s="1" t="s">
        <v>43</v>
      </c>
      <c r="C25" s="1">
        <v>76584179.988999993</v>
      </c>
      <c r="D25">
        <v>7658.4179988999995</v>
      </c>
      <c r="E25">
        <v>37.674504578135526</v>
      </c>
    </row>
    <row r="26" spans="1:5" x14ac:dyDescent="0.3">
      <c r="A26" s="1" t="s">
        <v>57</v>
      </c>
      <c r="B26" s="1" t="s">
        <v>43</v>
      </c>
      <c r="C26" s="1">
        <v>48351921.899999976</v>
      </c>
      <c r="D26">
        <v>4835.1921899999979</v>
      </c>
      <c r="E26">
        <v>23.786044366406315</v>
      </c>
    </row>
    <row r="27" spans="1:5" x14ac:dyDescent="0.3">
      <c r="A27" s="1" t="s">
        <v>19</v>
      </c>
      <c r="B27" s="1" t="s">
        <v>38</v>
      </c>
      <c r="C27" s="1">
        <v>124180157.691999</v>
      </c>
      <c r="D27">
        <v>12418.015769199901</v>
      </c>
      <c r="E27">
        <v>9.927273121792318</v>
      </c>
    </row>
    <row r="28" spans="1:5" x14ac:dyDescent="0.3">
      <c r="A28" s="1" t="s">
        <v>23</v>
      </c>
      <c r="B28" s="1" t="s">
        <v>38</v>
      </c>
      <c r="C28" s="1">
        <v>246868746.77499899</v>
      </c>
      <c r="D28">
        <v>24686.874677499898</v>
      </c>
      <c r="E28">
        <v>19.735306509663928</v>
      </c>
    </row>
    <row r="29" spans="1:5" x14ac:dyDescent="0.3">
      <c r="A29" s="1" t="s">
        <v>24</v>
      </c>
      <c r="B29" s="1" t="s">
        <v>38</v>
      </c>
      <c r="C29" s="1">
        <v>301596893.41199899</v>
      </c>
      <c r="D29">
        <v>30159.689341199897</v>
      </c>
      <c r="E29">
        <v>24.110411753631613</v>
      </c>
    </row>
    <row r="30" spans="1:5" x14ac:dyDescent="0.3">
      <c r="A30" s="1" t="s">
        <v>20</v>
      </c>
      <c r="B30" s="1" t="s">
        <v>38</v>
      </c>
      <c r="C30" s="1">
        <v>420758152.58899999</v>
      </c>
      <c r="D30">
        <v>42075.815258900002</v>
      </c>
      <c r="E30">
        <v>33.636461545908439</v>
      </c>
    </row>
    <row r="31" spans="1:5" x14ac:dyDescent="0.3">
      <c r="A31" s="1" t="s">
        <v>57</v>
      </c>
      <c r="B31" s="1" t="s">
        <v>38</v>
      </c>
      <c r="C31" s="1">
        <v>157495024.18999961</v>
      </c>
      <c r="D31">
        <v>15749.502418999962</v>
      </c>
      <c r="E31">
        <v>12.590547069003691</v>
      </c>
    </row>
    <row r="32" spans="1:5" x14ac:dyDescent="0.3">
      <c r="A32" s="1" t="s">
        <v>33</v>
      </c>
      <c r="B32" s="1" t="s">
        <v>31</v>
      </c>
      <c r="C32" s="1">
        <v>135805656.45099899</v>
      </c>
      <c r="D32">
        <v>13580.565645099899</v>
      </c>
      <c r="E32">
        <v>6.6419272360354524</v>
      </c>
    </row>
    <row r="33" spans="1:5" x14ac:dyDescent="0.3">
      <c r="A33" s="1" t="s">
        <v>19</v>
      </c>
      <c r="B33" s="1" t="s">
        <v>31</v>
      </c>
      <c r="C33" s="1">
        <v>154850599.313999</v>
      </c>
      <c r="D33">
        <v>15485.059931399899</v>
      </c>
      <c r="E33">
        <v>7.5733694750127398</v>
      </c>
    </row>
    <row r="34" spans="1:5" x14ac:dyDescent="0.3">
      <c r="A34" s="1" t="s">
        <v>8</v>
      </c>
      <c r="B34" s="1" t="s">
        <v>31</v>
      </c>
      <c r="C34" s="1">
        <v>181651573.248</v>
      </c>
      <c r="D34">
        <v>18165.157324799999</v>
      </c>
      <c r="E34">
        <v>8.8841404942504134</v>
      </c>
    </row>
    <row r="35" spans="1:5" x14ac:dyDescent="0.3">
      <c r="A35" s="1" t="s">
        <v>34</v>
      </c>
      <c r="B35" s="1" t="s">
        <v>31</v>
      </c>
      <c r="C35" s="1">
        <v>322249495.11199898</v>
      </c>
      <c r="D35">
        <v>32224.949511199899</v>
      </c>
      <c r="E35">
        <v>15.760445877711563</v>
      </c>
    </row>
    <row r="36" spans="1:5" x14ac:dyDescent="0.3">
      <c r="A36" s="1" t="s">
        <v>24</v>
      </c>
      <c r="B36" s="1" t="s">
        <v>31</v>
      </c>
      <c r="C36" s="1">
        <v>411960436.515001</v>
      </c>
      <c r="D36">
        <v>41196.043651500098</v>
      </c>
      <c r="E36">
        <v>20.147991732916594</v>
      </c>
    </row>
    <row r="37" spans="1:5" x14ac:dyDescent="0.3">
      <c r="A37" s="1" t="s">
        <v>23</v>
      </c>
      <c r="B37" s="1" t="s">
        <v>31</v>
      </c>
      <c r="C37" s="1">
        <v>672888351.61399996</v>
      </c>
      <c r="D37">
        <v>67288.835161399998</v>
      </c>
      <c r="E37">
        <v>32.909346975607143</v>
      </c>
    </row>
    <row r="38" spans="1:5" x14ac:dyDescent="0.3">
      <c r="A38" s="1" t="s">
        <v>57</v>
      </c>
      <c r="B38" s="1" t="s">
        <v>31</v>
      </c>
      <c r="C38" s="1">
        <v>165266339.3529999</v>
      </c>
      <c r="D38">
        <v>16526.633935299989</v>
      </c>
      <c r="E38">
        <v>8.0827782084660953</v>
      </c>
    </row>
    <row r="39" spans="1:5" x14ac:dyDescent="0.3">
      <c r="A39" s="1" t="s">
        <v>9</v>
      </c>
      <c r="B39" s="1" t="s">
        <v>30</v>
      </c>
      <c r="C39" s="1">
        <v>48389398.245999999</v>
      </c>
      <c r="D39">
        <v>4838.9398246000001</v>
      </c>
      <c r="E39">
        <v>6.7068556514316215</v>
      </c>
    </row>
    <row r="40" spans="1:5" x14ac:dyDescent="0.3">
      <c r="A40" s="1" t="s">
        <v>10</v>
      </c>
      <c r="B40" s="1" t="s">
        <v>30</v>
      </c>
      <c r="C40" s="1">
        <v>102718378.91599999</v>
      </c>
      <c r="D40">
        <v>10271.8378916</v>
      </c>
      <c r="E40">
        <v>14.236947866893903</v>
      </c>
    </row>
    <row r="41" spans="1:5" x14ac:dyDescent="0.3">
      <c r="A41" s="1" t="s">
        <v>5</v>
      </c>
      <c r="B41" s="1" t="s">
        <v>30</v>
      </c>
      <c r="C41" s="1">
        <v>166225689.77900001</v>
      </c>
      <c r="D41">
        <v>16622.568977900002</v>
      </c>
      <c r="E41">
        <v>23.039172779950047</v>
      </c>
    </row>
    <row r="42" spans="1:5" x14ac:dyDescent="0.3">
      <c r="A42" s="1" t="s">
        <v>6</v>
      </c>
      <c r="B42" s="1" t="s">
        <v>30</v>
      </c>
      <c r="C42" s="1">
        <v>383878540.06</v>
      </c>
      <c r="D42">
        <v>38387.854006000001</v>
      </c>
      <c r="E42">
        <v>53.206240399518833</v>
      </c>
    </row>
    <row r="43" spans="1:5" x14ac:dyDescent="0.3">
      <c r="A43" s="1" t="s">
        <v>57</v>
      </c>
      <c r="B43" s="1" t="s">
        <v>30</v>
      </c>
      <c r="C43" s="1">
        <v>20279564.62199999</v>
      </c>
      <c r="D43">
        <v>2027.9564621999989</v>
      </c>
      <c r="E43">
        <v>2.8107833022055928</v>
      </c>
    </row>
    <row r="44" spans="1:5" x14ac:dyDescent="0.3">
      <c r="A44" s="1" t="s">
        <v>3</v>
      </c>
      <c r="B44" s="1" t="s">
        <v>12</v>
      </c>
      <c r="C44" s="1">
        <v>21523760.109999999</v>
      </c>
      <c r="D44">
        <v>2152.3760109999998</v>
      </c>
      <c r="E44">
        <v>6.4272791837698264</v>
      </c>
    </row>
    <row r="45" spans="1:5" x14ac:dyDescent="0.3">
      <c r="A45" s="1" t="s">
        <v>10</v>
      </c>
      <c r="B45" s="1" t="s">
        <v>12</v>
      </c>
      <c r="C45" s="1">
        <v>25537927.085000001</v>
      </c>
      <c r="D45">
        <v>2553.7927085000001</v>
      </c>
      <c r="E45">
        <v>7.6259624856993513</v>
      </c>
    </row>
    <row r="46" spans="1:5" x14ac:dyDescent="0.3">
      <c r="A46" s="1" t="s">
        <v>19</v>
      </c>
      <c r="B46" s="1" t="s">
        <v>12</v>
      </c>
      <c r="C46" s="1">
        <v>25578205.5059999</v>
      </c>
      <c r="D46">
        <v>2557.8205505999899</v>
      </c>
      <c r="E46">
        <v>7.6379901544488966</v>
      </c>
    </row>
    <row r="47" spans="1:5" x14ac:dyDescent="0.3">
      <c r="A47" s="1" t="s">
        <v>15</v>
      </c>
      <c r="B47" s="1" t="s">
        <v>12</v>
      </c>
      <c r="C47" s="1">
        <v>30365872.998</v>
      </c>
      <c r="D47">
        <v>3036.5872998</v>
      </c>
      <c r="E47">
        <v>9.0676509317889646</v>
      </c>
    </row>
    <row r="48" spans="1:5" x14ac:dyDescent="0.3">
      <c r="A48" s="1" t="s">
        <v>20</v>
      </c>
      <c r="B48" s="1" t="s">
        <v>12</v>
      </c>
      <c r="C48" s="1">
        <v>54628038.236000001</v>
      </c>
      <c r="D48">
        <v>5462.8038236000002</v>
      </c>
      <c r="E48">
        <v>16.312654072059576</v>
      </c>
    </row>
    <row r="49" spans="1:5" x14ac:dyDescent="0.3">
      <c r="A49" s="1" t="s">
        <v>24</v>
      </c>
      <c r="B49" s="1" t="s">
        <v>12</v>
      </c>
      <c r="C49" s="1">
        <v>56696857.835000001</v>
      </c>
      <c r="D49">
        <v>5669.6857835000001</v>
      </c>
      <c r="E49">
        <v>16.930430941699097</v>
      </c>
    </row>
    <row r="50" spans="1:5" x14ac:dyDescent="0.3">
      <c r="A50" s="1" t="s">
        <v>23</v>
      </c>
      <c r="B50" s="1" t="s">
        <v>12</v>
      </c>
      <c r="C50" s="1">
        <v>65901851.931999996</v>
      </c>
      <c r="D50">
        <v>6590.1851932</v>
      </c>
      <c r="E50">
        <v>19.679163813837217</v>
      </c>
    </row>
    <row r="51" spans="1:5" x14ac:dyDescent="0.3">
      <c r="A51" s="1" t="s">
        <v>57</v>
      </c>
      <c r="B51" s="1" t="s">
        <v>12</v>
      </c>
      <c r="C51" s="1">
        <v>54648848.917999946</v>
      </c>
      <c r="D51">
        <v>5464.8848917999949</v>
      </c>
      <c r="E51">
        <v>16.318868416697072</v>
      </c>
    </row>
    <row r="52" spans="1:5" x14ac:dyDescent="0.3">
      <c r="A52" s="1" t="s">
        <v>6</v>
      </c>
      <c r="B52" s="1" t="s">
        <v>4</v>
      </c>
      <c r="C52" s="1">
        <v>346493329.56699997</v>
      </c>
      <c r="D52">
        <v>34649.332956699996</v>
      </c>
      <c r="E52">
        <v>97.126903789477964</v>
      </c>
    </row>
    <row r="53" spans="1:5" x14ac:dyDescent="0.3">
      <c r="A53" s="2" t="s">
        <v>57</v>
      </c>
      <c r="B53" s="2" t="s">
        <v>4</v>
      </c>
      <c r="C53">
        <v>10249566.632000029</v>
      </c>
      <c r="D53">
        <v>1024.9566632000028</v>
      </c>
      <c r="E53">
        <v>2.8730962105220357</v>
      </c>
    </row>
  </sheetData>
  <sortState xmlns:xlrd2="http://schemas.microsoft.com/office/spreadsheetml/2017/richdata2" ref="A2:E207">
    <sortCondition ref="B2:B20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B957-7151-4FC6-AA21-08CF0088309B}">
  <dimension ref="A1:W18"/>
  <sheetViews>
    <sheetView workbookViewId="0">
      <selection activeCell="M14" sqref="M14:W14"/>
    </sheetView>
  </sheetViews>
  <sheetFormatPr defaultRowHeight="14.4" x14ac:dyDescent="0.3"/>
  <cols>
    <col min="1" max="1" width="41.5546875" bestFit="1" customWidth="1"/>
    <col min="2" max="2" width="8.5546875" bestFit="1" customWidth="1"/>
    <col min="3" max="3" width="7.5546875" bestFit="1" customWidth="1"/>
    <col min="4" max="4" width="9.77734375" bestFit="1" customWidth="1"/>
    <col min="5" max="5" width="17.6640625" bestFit="1" customWidth="1"/>
    <col min="6" max="6" width="8.21875" bestFit="1" customWidth="1"/>
    <col min="7" max="7" width="23.5546875" bestFit="1" customWidth="1"/>
    <col min="8" max="8" width="7" bestFit="1" customWidth="1"/>
    <col min="9" max="9" width="11.6640625" bestFit="1" customWidth="1"/>
    <col min="10" max="10" width="22.88671875" bestFit="1" customWidth="1"/>
    <col min="11" max="11" width="9.5546875" bestFit="1" customWidth="1"/>
    <col min="13" max="13" width="41.5546875" bestFit="1" customWidth="1"/>
    <col min="14" max="14" width="8.5546875" bestFit="1" customWidth="1"/>
    <col min="15" max="15" width="7.5546875" bestFit="1" customWidth="1"/>
    <col min="16" max="16" width="9.77734375" bestFit="1" customWidth="1"/>
    <col min="17" max="17" width="17" bestFit="1" customWidth="1"/>
    <col min="18" max="18" width="8.21875" bestFit="1" customWidth="1"/>
    <col min="19" max="19" width="22.88671875" bestFit="1" customWidth="1"/>
    <col min="20" max="20" width="7" bestFit="1" customWidth="1"/>
    <col min="21" max="21" width="11.109375" bestFit="1" customWidth="1"/>
    <col min="22" max="22" width="13.77734375" bestFit="1" customWidth="1"/>
    <col min="23" max="23" width="9.5546875" bestFit="1" customWidth="1"/>
  </cols>
  <sheetData>
    <row r="1" spans="1:23" x14ac:dyDescent="0.3">
      <c r="B1" t="s">
        <v>50</v>
      </c>
      <c r="C1" t="s">
        <v>53</v>
      </c>
      <c r="D1" t="s">
        <v>38</v>
      </c>
      <c r="E1" t="s">
        <v>31</v>
      </c>
      <c r="F1" t="s">
        <v>12</v>
      </c>
      <c r="G1" t="s">
        <v>51</v>
      </c>
      <c r="H1" t="s">
        <v>48</v>
      </c>
      <c r="I1" t="s">
        <v>43</v>
      </c>
      <c r="J1" t="s">
        <v>30</v>
      </c>
      <c r="K1" t="s">
        <v>4</v>
      </c>
      <c r="N1" s="17" t="s">
        <v>50</v>
      </c>
      <c r="O1" s="17" t="s">
        <v>53</v>
      </c>
      <c r="P1" s="17" t="s">
        <v>38</v>
      </c>
      <c r="Q1" s="17" t="s">
        <v>61</v>
      </c>
      <c r="R1" s="17" t="s">
        <v>12</v>
      </c>
      <c r="S1" s="17" t="s">
        <v>60</v>
      </c>
      <c r="T1" s="17" t="s">
        <v>48</v>
      </c>
      <c r="U1" s="17" t="s">
        <v>62</v>
      </c>
      <c r="V1" s="17" t="s">
        <v>63</v>
      </c>
      <c r="W1" s="17" t="s">
        <v>4</v>
      </c>
    </row>
    <row r="2" spans="1:23" x14ac:dyDescent="0.3">
      <c r="A2" t="s">
        <v>24</v>
      </c>
      <c r="B2" s="3">
        <v>21761.213199999998</v>
      </c>
      <c r="C2" s="3">
        <v>29128.209770000001</v>
      </c>
      <c r="D2" s="3">
        <v>30159.689340000001</v>
      </c>
      <c r="E2" s="3">
        <v>41196.04365</v>
      </c>
      <c r="F2" s="3">
        <v>5669.6857840000002</v>
      </c>
      <c r="G2" s="3">
        <v>10923.48018</v>
      </c>
      <c r="H2" s="3">
        <v>10316.75635</v>
      </c>
      <c r="I2" s="3">
        <v>6640.4792239999997</v>
      </c>
      <c r="J2" s="3" t="s">
        <v>58</v>
      </c>
      <c r="K2" s="3" t="s">
        <v>58</v>
      </c>
      <c r="M2" t="s">
        <v>24</v>
      </c>
      <c r="N2">
        <v>22000</v>
      </c>
      <c r="O2">
        <v>29000</v>
      </c>
      <c r="P2">
        <v>30000</v>
      </c>
      <c r="Q2">
        <v>41000</v>
      </c>
      <c r="R2">
        <v>6000</v>
      </c>
      <c r="S2">
        <v>11000</v>
      </c>
      <c r="T2">
        <v>10000</v>
      </c>
      <c r="U2">
        <v>7000</v>
      </c>
      <c r="V2" t="s">
        <v>58</v>
      </c>
      <c r="W2" t="s">
        <v>58</v>
      </c>
    </row>
    <row r="3" spans="1:23" x14ac:dyDescent="0.3">
      <c r="A3" t="s">
        <v>23</v>
      </c>
      <c r="B3" s="3">
        <v>10555.91784</v>
      </c>
      <c r="C3" s="3">
        <v>62473.182710000001</v>
      </c>
      <c r="D3" s="3">
        <v>24686.874680000001</v>
      </c>
      <c r="E3" s="3">
        <v>67288.835160000002</v>
      </c>
      <c r="F3" s="3">
        <v>6590.1851930000003</v>
      </c>
      <c r="G3" s="3">
        <v>27124.059270000002</v>
      </c>
      <c r="H3" s="3">
        <v>19162.935079999999</v>
      </c>
      <c r="I3" s="3">
        <v>7658.4179990000002</v>
      </c>
      <c r="J3" s="3" t="s">
        <v>58</v>
      </c>
      <c r="K3" s="3" t="s">
        <v>58</v>
      </c>
      <c r="M3" t="s">
        <v>23</v>
      </c>
      <c r="N3">
        <v>11000</v>
      </c>
      <c r="O3">
        <v>62000</v>
      </c>
      <c r="P3">
        <v>25000</v>
      </c>
      <c r="Q3">
        <v>67000</v>
      </c>
      <c r="R3">
        <v>7000</v>
      </c>
      <c r="S3">
        <v>27000</v>
      </c>
      <c r="T3">
        <v>19000</v>
      </c>
      <c r="U3">
        <v>8000</v>
      </c>
      <c r="V3" t="s">
        <v>58</v>
      </c>
      <c r="W3" t="s">
        <v>58</v>
      </c>
    </row>
    <row r="4" spans="1:23" x14ac:dyDescent="0.3">
      <c r="A4" t="s">
        <v>19</v>
      </c>
      <c r="B4" s="3">
        <v>2065.3218149999998</v>
      </c>
      <c r="C4" s="3">
        <v>86206.989520000003</v>
      </c>
      <c r="D4" s="3">
        <v>12418.01577</v>
      </c>
      <c r="E4" s="3">
        <v>15485.059929999999</v>
      </c>
      <c r="F4" s="3">
        <v>2557.8205509999998</v>
      </c>
      <c r="G4" s="3" t="s">
        <v>58</v>
      </c>
      <c r="H4" s="3" t="s">
        <v>58</v>
      </c>
      <c r="I4" s="3" t="s">
        <v>58</v>
      </c>
      <c r="J4" s="3" t="s">
        <v>58</v>
      </c>
      <c r="K4" s="3" t="s">
        <v>58</v>
      </c>
      <c r="M4" t="s">
        <v>19</v>
      </c>
      <c r="N4">
        <v>2000</v>
      </c>
      <c r="O4">
        <v>86000</v>
      </c>
      <c r="P4">
        <v>12000</v>
      </c>
      <c r="Q4">
        <v>15000</v>
      </c>
      <c r="R4">
        <v>3000</v>
      </c>
      <c r="S4" t="s">
        <v>58</v>
      </c>
      <c r="T4" t="s">
        <v>58</v>
      </c>
      <c r="U4" t="s">
        <v>58</v>
      </c>
      <c r="V4" t="s">
        <v>58</v>
      </c>
      <c r="W4" t="s">
        <v>58</v>
      </c>
    </row>
    <row r="5" spans="1:23" x14ac:dyDescent="0.3">
      <c r="A5" t="s">
        <v>27</v>
      </c>
      <c r="B5" s="3">
        <v>3449.0287239999998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  <c r="I5" s="3" t="s">
        <v>58</v>
      </c>
      <c r="J5" s="3" t="s">
        <v>58</v>
      </c>
      <c r="K5" s="3" t="s">
        <v>58</v>
      </c>
      <c r="M5" t="s">
        <v>27</v>
      </c>
      <c r="N5">
        <v>3000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</row>
    <row r="6" spans="1:23" x14ac:dyDescent="0.3">
      <c r="A6" t="s">
        <v>8</v>
      </c>
      <c r="B6" s="3" t="s">
        <v>58</v>
      </c>
      <c r="C6" s="3" t="s">
        <v>58</v>
      </c>
      <c r="D6" s="3" t="s">
        <v>58</v>
      </c>
      <c r="E6" s="3">
        <v>18165.157319999998</v>
      </c>
      <c r="F6" s="3" t="s">
        <v>58</v>
      </c>
      <c r="G6" s="3" t="s">
        <v>58</v>
      </c>
      <c r="H6" s="3" t="s">
        <v>58</v>
      </c>
      <c r="I6" s="3" t="s">
        <v>58</v>
      </c>
      <c r="J6" s="3" t="s">
        <v>58</v>
      </c>
      <c r="K6" s="3" t="s">
        <v>58</v>
      </c>
      <c r="M6" t="s">
        <v>8</v>
      </c>
      <c r="N6" t="s">
        <v>58</v>
      </c>
      <c r="O6" t="s">
        <v>58</v>
      </c>
      <c r="P6" t="s">
        <v>58</v>
      </c>
      <c r="Q6">
        <v>18000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</row>
    <row r="7" spans="1:23" x14ac:dyDescent="0.3">
      <c r="A7" t="s">
        <v>15</v>
      </c>
      <c r="B7" s="3" t="s">
        <v>58</v>
      </c>
      <c r="C7" s="3" t="s">
        <v>58</v>
      </c>
      <c r="D7" s="3" t="s">
        <v>58</v>
      </c>
      <c r="E7" s="3" t="s">
        <v>58</v>
      </c>
      <c r="F7" s="3">
        <v>3036.5873000000001</v>
      </c>
      <c r="G7" s="3" t="s">
        <v>58</v>
      </c>
      <c r="H7" s="3" t="s">
        <v>58</v>
      </c>
      <c r="I7" s="3" t="s">
        <v>58</v>
      </c>
      <c r="J7" s="3" t="s">
        <v>58</v>
      </c>
      <c r="K7" s="3" t="s">
        <v>58</v>
      </c>
      <c r="M7" t="s">
        <v>15</v>
      </c>
      <c r="N7" t="s">
        <v>58</v>
      </c>
      <c r="O7" t="s">
        <v>58</v>
      </c>
      <c r="P7" t="s">
        <v>58</v>
      </c>
      <c r="Q7" t="s">
        <v>58</v>
      </c>
      <c r="R7">
        <v>3000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</row>
    <row r="8" spans="1:23" x14ac:dyDescent="0.3">
      <c r="A8" t="s">
        <v>33</v>
      </c>
      <c r="B8" s="3" t="s">
        <v>58</v>
      </c>
      <c r="C8" s="3" t="s">
        <v>58</v>
      </c>
      <c r="D8" s="3" t="s">
        <v>58</v>
      </c>
      <c r="E8" s="3">
        <v>13580.56565</v>
      </c>
      <c r="F8" s="3" t="s">
        <v>58</v>
      </c>
      <c r="G8" s="3" t="s">
        <v>58</v>
      </c>
      <c r="H8" s="3">
        <v>8136.4404070000001</v>
      </c>
      <c r="I8" s="3" t="s">
        <v>58</v>
      </c>
      <c r="J8" s="3" t="s">
        <v>58</v>
      </c>
      <c r="K8" s="3" t="s">
        <v>58</v>
      </c>
      <c r="M8" t="s">
        <v>33</v>
      </c>
      <c r="N8" t="s">
        <v>58</v>
      </c>
      <c r="O8" t="s">
        <v>58</v>
      </c>
      <c r="P8" t="s">
        <v>58</v>
      </c>
      <c r="Q8">
        <v>14000</v>
      </c>
      <c r="R8" t="s">
        <v>58</v>
      </c>
      <c r="S8" t="s">
        <v>58</v>
      </c>
      <c r="T8">
        <v>8000</v>
      </c>
      <c r="U8" t="s">
        <v>58</v>
      </c>
      <c r="V8" t="s">
        <v>58</v>
      </c>
      <c r="W8" t="s">
        <v>58</v>
      </c>
    </row>
    <row r="9" spans="1:23" x14ac:dyDescent="0.3">
      <c r="A9" t="s">
        <v>17</v>
      </c>
      <c r="B9" s="3" t="s">
        <v>58</v>
      </c>
      <c r="C9" s="3" t="s">
        <v>58</v>
      </c>
      <c r="D9" s="3" t="s">
        <v>58</v>
      </c>
      <c r="E9" s="3" t="s">
        <v>58</v>
      </c>
      <c r="F9" s="3" t="s">
        <v>58</v>
      </c>
      <c r="G9" s="3">
        <v>6827.2245890000004</v>
      </c>
      <c r="H9" s="3" t="s">
        <v>58</v>
      </c>
      <c r="I9" s="3" t="s">
        <v>58</v>
      </c>
      <c r="J9" s="3" t="s">
        <v>58</v>
      </c>
      <c r="K9" s="3" t="s">
        <v>58</v>
      </c>
      <c r="M9" t="s">
        <v>17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>
        <v>7000</v>
      </c>
      <c r="T9" t="s">
        <v>58</v>
      </c>
      <c r="U9" t="s">
        <v>58</v>
      </c>
      <c r="V9" t="s">
        <v>58</v>
      </c>
      <c r="W9" t="s">
        <v>58</v>
      </c>
    </row>
    <row r="10" spans="1:23" x14ac:dyDescent="0.3">
      <c r="A10" t="s">
        <v>20</v>
      </c>
      <c r="B10" s="3" t="s">
        <v>58</v>
      </c>
      <c r="C10" s="3" t="s">
        <v>58</v>
      </c>
      <c r="D10" s="3">
        <v>42075.815260000003</v>
      </c>
      <c r="E10" s="3" t="s">
        <v>58</v>
      </c>
      <c r="F10" s="3">
        <v>5462.8038239999996</v>
      </c>
      <c r="G10" s="3">
        <v>12356.626780000001</v>
      </c>
      <c r="H10" s="3" t="s">
        <v>58</v>
      </c>
      <c r="I10" s="3" t="s">
        <v>58</v>
      </c>
      <c r="J10" s="3" t="s">
        <v>58</v>
      </c>
      <c r="K10" s="3" t="s">
        <v>58</v>
      </c>
      <c r="M10" t="s">
        <v>20</v>
      </c>
      <c r="N10" t="s">
        <v>58</v>
      </c>
      <c r="O10" t="s">
        <v>58</v>
      </c>
      <c r="P10">
        <v>42000</v>
      </c>
      <c r="Q10" t="s">
        <v>58</v>
      </c>
      <c r="R10">
        <v>5000</v>
      </c>
      <c r="S10">
        <v>12000</v>
      </c>
      <c r="T10" t="s">
        <v>58</v>
      </c>
      <c r="U10" t="s">
        <v>58</v>
      </c>
      <c r="V10" t="s">
        <v>58</v>
      </c>
      <c r="W10" t="s">
        <v>58</v>
      </c>
    </row>
    <row r="11" spans="1:23" x14ac:dyDescent="0.3">
      <c r="A11" t="s">
        <v>5</v>
      </c>
      <c r="B11" s="3" t="s">
        <v>58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58</v>
      </c>
      <c r="I11" s="3" t="s">
        <v>58</v>
      </c>
      <c r="J11" s="3">
        <v>16622.56898</v>
      </c>
      <c r="K11" s="3" t="s">
        <v>58</v>
      </c>
      <c r="M11" t="s">
        <v>5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>
        <v>17000</v>
      </c>
      <c r="W11" t="s">
        <v>58</v>
      </c>
    </row>
    <row r="12" spans="1:23" x14ac:dyDescent="0.3">
      <c r="A12" t="s">
        <v>34</v>
      </c>
      <c r="B12" s="3" t="s">
        <v>58</v>
      </c>
      <c r="C12" s="3" t="s">
        <v>58</v>
      </c>
      <c r="D12" s="3" t="s">
        <v>58</v>
      </c>
      <c r="E12" s="3">
        <v>32224.949509999999</v>
      </c>
      <c r="F12" s="3" t="s">
        <v>58</v>
      </c>
      <c r="G12" s="3" t="s">
        <v>58</v>
      </c>
      <c r="H12" s="3">
        <v>111111.25290000001</v>
      </c>
      <c r="I12" s="3" t="s">
        <v>58</v>
      </c>
      <c r="J12" s="3" t="s">
        <v>58</v>
      </c>
      <c r="K12" s="3" t="s">
        <v>58</v>
      </c>
      <c r="M12" t="s">
        <v>34</v>
      </c>
      <c r="N12" t="s">
        <v>58</v>
      </c>
      <c r="O12" t="s">
        <v>58</v>
      </c>
      <c r="P12" t="s">
        <v>58</v>
      </c>
      <c r="Q12">
        <v>32000</v>
      </c>
      <c r="R12" t="s">
        <v>58</v>
      </c>
      <c r="S12" t="s">
        <v>58</v>
      </c>
      <c r="T12">
        <v>111000</v>
      </c>
      <c r="U12" t="s">
        <v>58</v>
      </c>
      <c r="V12" t="s">
        <v>58</v>
      </c>
      <c r="W12" t="s">
        <v>58</v>
      </c>
    </row>
    <row r="13" spans="1:23" x14ac:dyDescent="0.3">
      <c r="A13" t="s">
        <v>6</v>
      </c>
      <c r="B13" s="3" t="s">
        <v>58</v>
      </c>
      <c r="C13" s="3" t="s">
        <v>58</v>
      </c>
      <c r="D13" s="3" t="s">
        <v>58</v>
      </c>
      <c r="E13" s="3" t="s">
        <v>58</v>
      </c>
      <c r="F13" s="3" t="s">
        <v>58</v>
      </c>
      <c r="G13" s="3" t="s">
        <v>58</v>
      </c>
      <c r="H13" s="3" t="s">
        <v>58</v>
      </c>
      <c r="I13" s="3" t="s">
        <v>58</v>
      </c>
      <c r="J13" s="3">
        <v>38387.854010000003</v>
      </c>
      <c r="K13" s="3">
        <v>34649.33296</v>
      </c>
      <c r="M13" t="s">
        <v>6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>
        <v>38000</v>
      </c>
      <c r="W13">
        <v>35000</v>
      </c>
    </row>
    <row r="14" spans="1:23" x14ac:dyDescent="0.3">
      <c r="A14" t="s">
        <v>10</v>
      </c>
      <c r="B14" s="3" t="s">
        <v>58</v>
      </c>
      <c r="C14" s="3" t="s">
        <v>58</v>
      </c>
      <c r="D14" s="3" t="s">
        <v>58</v>
      </c>
      <c r="E14" s="3" t="s">
        <v>58</v>
      </c>
      <c r="F14" s="3">
        <v>2553.7927089999998</v>
      </c>
      <c r="G14" s="3">
        <v>11733.28564</v>
      </c>
      <c r="H14" s="3" t="s">
        <v>58</v>
      </c>
      <c r="I14" s="3" t="s">
        <v>58</v>
      </c>
      <c r="J14" s="3">
        <v>10271.837890000001</v>
      </c>
      <c r="K14" s="3" t="s">
        <v>58</v>
      </c>
      <c r="M14" s="17" t="s">
        <v>59</v>
      </c>
      <c r="N14" s="17">
        <v>41000</v>
      </c>
      <c r="O14" s="17">
        <v>199000</v>
      </c>
      <c r="P14" s="17">
        <v>125000</v>
      </c>
      <c r="Q14" s="17">
        <v>204000</v>
      </c>
      <c r="R14" s="17">
        <v>33000</v>
      </c>
      <c r="S14" s="17">
        <v>94000</v>
      </c>
      <c r="T14" s="17">
        <v>158000</v>
      </c>
      <c r="U14" s="17">
        <v>20000</v>
      </c>
      <c r="V14" s="17">
        <v>72000</v>
      </c>
      <c r="W14" s="17">
        <v>36000</v>
      </c>
    </row>
    <row r="15" spans="1:23" x14ac:dyDescent="0.3">
      <c r="A15" t="s">
        <v>9</v>
      </c>
      <c r="B15" s="3" t="s">
        <v>58</v>
      </c>
      <c r="C15" s="3" t="s">
        <v>58</v>
      </c>
      <c r="D15" s="3" t="s">
        <v>58</v>
      </c>
      <c r="E15" s="3" t="s">
        <v>58</v>
      </c>
      <c r="F15" s="3" t="s">
        <v>58</v>
      </c>
      <c r="G15" s="3" t="s">
        <v>58</v>
      </c>
      <c r="H15" s="3" t="s">
        <v>58</v>
      </c>
      <c r="I15" s="3" t="s">
        <v>58</v>
      </c>
      <c r="J15" s="3">
        <v>4838.9398250000004</v>
      </c>
      <c r="K15" s="3" t="s">
        <v>58</v>
      </c>
      <c r="N15">
        <f>N14/SUM(N14:W14)</f>
        <v>4.1751527494908347E-2</v>
      </c>
    </row>
    <row r="16" spans="1:23" x14ac:dyDescent="0.3">
      <c r="A16" t="s">
        <v>3</v>
      </c>
      <c r="B16" s="3" t="s">
        <v>58</v>
      </c>
      <c r="C16" s="3" t="s">
        <v>58</v>
      </c>
      <c r="D16" s="3" t="s">
        <v>58</v>
      </c>
      <c r="E16" s="3" t="s">
        <v>58</v>
      </c>
      <c r="F16" s="3">
        <v>2152.3760109999998</v>
      </c>
      <c r="G16" s="3">
        <v>5255.6072450000001</v>
      </c>
      <c r="H16" s="3" t="s">
        <v>58</v>
      </c>
      <c r="I16" s="3">
        <v>1193.763825</v>
      </c>
      <c r="J16" s="3" t="s">
        <v>58</v>
      </c>
      <c r="K16" s="3" t="s">
        <v>58</v>
      </c>
    </row>
    <row r="17" spans="1:11" x14ac:dyDescent="0.3">
      <c r="A17" t="s">
        <v>57</v>
      </c>
      <c r="B17" s="3">
        <v>2957.1752350000002</v>
      </c>
      <c r="C17" s="3">
        <v>21562.91275</v>
      </c>
      <c r="D17" s="3">
        <v>15749.502420000001</v>
      </c>
      <c r="E17" s="3">
        <v>16526.63394</v>
      </c>
      <c r="F17" s="3">
        <v>5464.884892</v>
      </c>
      <c r="G17" s="3">
        <v>20123.919580000002</v>
      </c>
      <c r="H17" s="3">
        <v>9435.2725900000005</v>
      </c>
      <c r="I17" s="3">
        <v>4835.1921899999998</v>
      </c>
      <c r="J17" s="3">
        <v>2027.9564620000001</v>
      </c>
      <c r="K17" s="3">
        <v>1024.9566629999999</v>
      </c>
    </row>
    <row r="18" spans="1:11" x14ac:dyDescent="0.3">
      <c r="A18" t="s">
        <v>59</v>
      </c>
      <c r="B18" s="3">
        <v>40788.656814000002</v>
      </c>
      <c r="C18" s="3">
        <v>199371.29475</v>
      </c>
      <c r="D18" s="3">
        <v>125089.89747</v>
      </c>
      <c r="E18" s="3">
        <v>204467.24515999999</v>
      </c>
      <c r="F18" s="3">
        <v>33488.136264000001</v>
      </c>
      <c r="G18" s="3">
        <v>94344.203284000003</v>
      </c>
      <c r="H18" s="3">
        <v>158162.65732700002</v>
      </c>
      <c r="I18" s="3">
        <v>20327.853238</v>
      </c>
      <c r="J18" s="3">
        <v>72149.157166999998</v>
      </c>
      <c r="K18" s="3">
        <v>35674.289622999997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5287-F7DC-4D8A-8405-F8C234E7296A}">
  <dimension ref="A1:H248"/>
  <sheetViews>
    <sheetView topLeftCell="A212" workbookViewId="0">
      <selection activeCell="H223" sqref="H223"/>
    </sheetView>
  </sheetViews>
  <sheetFormatPr defaultRowHeight="14.4" x14ac:dyDescent="0.3"/>
  <cols>
    <col min="1" max="1" width="73.109375" customWidth="1"/>
    <col min="3" max="3" width="23.33203125" customWidth="1"/>
    <col min="4" max="4" width="6" bestFit="1" customWidth="1"/>
    <col min="5" max="5" width="11.5546875" bestFit="1" customWidth="1"/>
  </cols>
  <sheetData>
    <row r="1" spans="1:8" ht="28.8" x14ac:dyDescent="0.3">
      <c r="A1" s="1" t="s">
        <v>177</v>
      </c>
      <c r="B1" s="1" t="s">
        <v>178</v>
      </c>
      <c r="C1" s="1" t="s">
        <v>64</v>
      </c>
      <c r="D1" s="1" t="s">
        <v>2</v>
      </c>
      <c r="E1" s="1" t="s">
        <v>54</v>
      </c>
      <c r="F1" s="2" t="s">
        <v>55</v>
      </c>
      <c r="G1" s="2" t="s">
        <v>176</v>
      </c>
      <c r="H1" s="2" t="s">
        <v>56</v>
      </c>
    </row>
    <row r="2" spans="1:8" x14ac:dyDescent="0.3">
      <c r="A2" s="1" t="s">
        <v>95</v>
      </c>
      <c r="B2" s="1" t="s">
        <v>179</v>
      </c>
      <c r="C2" s="1" t="s">
        <v>53</v>
      </c>
      <c r="D2" s="1">
        <v>1356</v>
      </c>
      <c r="E2" s="1">
        <v>698062293.50199997</v>
      </c>
      <c r="F2">
        <f>E2/10000</f>
        <v>69806.229350199996</v>
      </c>
      <c r="G2">
        <f>E2/1000000</f>
        <v>698.06229350199999</v>
      </c>
      <c r="H2">
        <f>E2/SUM($E$2:$E$44)</f>
        <v>0.11188378928811649</v>
      </c>
    </row>
    <row r="3" spans="1:8" x14ac:dyDescent="0.3">
      <c r="A3" s="1" t="s">
        <v>126</v>
      </c>
      <c r="B3" s="1" t="s">
        <v>179</v>
      </c>
      <c r="C3" s="1" t="s">
        <v>53</v>
      </c>
      <c r="D3" s="1">
        <v>9949</v>
      </c>
      <c r="E3" s="1">
        <v>1138270777.7059901</v>
      </c>
      <c r="F3">
        <f t="shared" ref="F3:F66" si="0">E3/10000</f>
        <v>113827.077770599</v>
      </c>
      <c r="G3">
        <f t="shared" ref="G3:G66" si="1">E3/1000000</f>
        <v>1138.27077770599</v>
      </c>
      <c r="H3">
        <f t="shared" ref="H3:H44" si="2">E3/SUM($E$2:$E$44)</f>
        <v>0.18243937400883636</v>
      </c>
    </row>
    <row r="4" spans="1:8" x14ac:dyDescent="0.3">
      <c r="A4" s="1" t="s">
        <v>128</v>
      </c>
      <c r="B4" s="1" t="s">
        <v>179</v>
      </c>
      <c r="C4" s="1" t="s">
        <v>53</v>
      </c>
      <c r="D4" s="1">
        <v>876</v>
      </c>
      <c r="E4" s="1">
        <v>100221831.88699999</v>
      </c>
      <c r="F4">
        <f t="shared" si="0"/>
        <v>10022.183188699999</v>
      </c>
      <c r="G4">
        <f t="shared" si="1"/>
        <v>100.22183188699999</v>
      </c>
      <c r="H4">
        <f t="shared" si="2"/>
        <v>1.6063320459067332E-2</v>
      </c>
    </row>
    <row r="5" spans="1:8" x14ac:dyDescent="0.3">
      <c r="A5" s="1" t="s">
        <v>123</v>
      </c>
      <c r="B5" s="1" t="s">
        <v>179</v>
      </c>
      <c r="C5" s="1" t="s">
        <v>53</v>
      </c>
      <c r="D5" s="1">
        <v>9057</v>
      </c>
      <c r="E5" s="1">
        <v>698921772.43299997</v>
      </c>
      <c r="F5">
        <f t="shared" si="0"/>
        <v>69892.177243300001</v>
      </c>
      <c r="G5">
        <f t="shared" si="1"/>
        <v>698.921772433</v>
      </c>
      <c r="H5">
        <f t="shared" si="2"/>
        <v>0.11202154455796663</v>
      </c>
    </row>
    <row r="6" spans="1:8" x14ac:dyDescent="0.3">
      <c r="A6" s="1" t="s">
        <v>105</v>
      </c>
      <c r="B6" s="1" t="s">
        <v>179</v>
      </c>
      <c r="C6" s="1" t="s">
        <v>53</v>
      </c>
      <c r="D6" s="1">
        <v>5840</v>
      </c>
      <c r="E6" s="1">
        <v>1561134819.6259899</v>
      </c>
      <c r="F6">
        <f t="shared" si="0"/>
        <v>156113.48196259901</v>
      </c>
      <c r="G6">
        <f t="shared" si="1"/>
        <v>1561.1348196259898</v>
      </c>
      <c r="H6">
        <f t="shared" si="2"/>
        <v>0.25021503214723567</v>
      </c>
    </row>
    <row r="7" spans="1:8" x14ac:dyDescent="0.3">
      <c r="A7" s="1" t="s">
        <v>132</v>
      </c>
      <c r="B7" s="1" t="s">
        <v>179</v>
      </c>
      <c r="C7" s="1" t="s">
        <v>53</v>
      </c>
      <c r="D7" s="1">
        <v>768</v>
      </c>
      <c r="E7" s="1">
        <v>192832073.956999</v>
      </c>
      <c r="F7">
        <f t="shared" si="0"/>
        <v>19283.207395699901</v>
      </c>
      <c r="G7">
        <f t="shared" si="1"/>
        <v>192.83207395699901</v>
      </c>
      <c r="H7">
        <f t="shared" si="2"/>
        <v>3.090667313136225E-2</v>
      </c>
    </row>
    <row r="8" spans="1:8" ht="28.8" x14ac:dyDescent="0.3">
      <c r="A8" s="1" t="s">
        <v>122</v>
      </c>
      <c r="B8" s="1" t="s">
        <v>179</v>
      </c>
      <c r="C8" s="1" t="s">
        <v>53</v>
      </c>
      <c r="D8" s="1">
        <v>3051</v>
      </c>
      <c r="E8" s="1">
        <v>404644123.287</v>
      </c>
      <c r="F8">
        <f t="shared" si="0"/>
        <v>40464.412328699997</v>
      </c>
      <c r="G8">
        <f t="shared" si="1"/>
        <v>404.64412328700001</v>
      </c>
      <c r="H8">
        <f t="shared" si="2"/>
        <v>6.4855412257541781E-2</v>
      </c>
    </row>
    <row r="9" spans="1:8" x14ac:dyDescent="0.3">
      <c r="A9" s="1" t="s">
        <v>129</v>
      </c>
      <c r="B9" s="1" t="s">
        <v>179</v>
      </c>
      <c r="C9" s="1" t="s">
        <v>53</v>
      </c>
      <c r="D9" s="1">
        <v>2383</v>
      </c>
      <c r="E9" s="1">
        <v>270963836.91199899</v>
      </c>
      <c r="F9">
        <f t="shared" si="0"/>
        <v>27096.383691199899</v>
      </c>
      <c r="G9">
        <f t="shared" si="1"/>
        <v>270.96383691199901</v>
      </c>
      <c r="H9">
        <f t="shared" si="2"/>
        <v>4.3429449084940147E-2</v>
      </c>
    </row>
    <row r="10" spans="1:8" x14ac:dyDescent="0.3">
      <c r="A10" s="1" t="s">
        <v>120</v>
      </c>
      <c r="B10" s="1" t="s">
        <v>179</v>
      </c>
      <c r="C10" s="1" t="s">
        <v>53</v>
      </c>
      <c r="D10" s="1">
        <v>618</v>
      </c>
      <c r="E10" s="1">
        <v>114257183.324</v>
      </c>
      <c r="F10">
        <f t="shared" si="0"/>
        <v>11425.7183324</v>
      </c>
      <c r="G10">
        <f t="shared" si="1"/>
        <v>114.257183324</v>
      </c>
      <c r="H10">
        <f t="shared" si="2"/>
        <v>1.8312873711519968E-2</v>
      </c>
    </row>
    <row r="11" spans="1:8" ht="28.8" x14ac:dyDescent="0.3">
      <c r="A11" s="1" t="s">
        <v>121</v>
      </c>
      <c r="B11" s="1" t="s">
        <v>179</v>
      </c>
      <c r="C11" s="1" t="s">
        <v>53</v>
      </c>
      <c r="D11" s="1">
        <v>809</v>
      </c>
      <c r="E11" s="1">
        <v>196102241.01899999</v>
      </c>
      <c r="F11">
        <f t="shared" si="0"/>
        <v>19610.224101899999</v>
      </c>
      <c r="G11">
        <f t="shared" si="1"/>
        <v>196.10224101899999</v>
      </c>
      <c r="H11">
        <f t="shared" si="2"/>
        <v>3.143080784814567E-2</v>
      </c>
    </row>
    <row r="12" spans="1:8" x14ac:dyDescent="0.3">
      <c r="A12" s="1" t="s">
        <v>130</v>
      </c>
      <c r="B12" s="1" t="s">
        <v>179</v>
      </c>
      <c r="C12" s="1" t="s">
        <v>53</v>
      </c>
      <c r="D12" s="1">
        <v>202</v>
      </c>
      <c r="E12" s="1">
        <v>11812482.92</v>
      </c>
      <c r="F12">
        <f t="shared" si="0"/>
        <v>1181.248292</v>
      </c>
      <c r="G12">
        <f t="shared" si="1"/>
        <v>11.812482920000001</v>
      </c>
      <c r="H12">
        <f t="shared" si="2"/>
        <v>1.8932770933099659E-3</v>
      </c>
    </row>
    <row r="13" spans="1:8" x14ac:dyDescent="0.3">
      <c r="A13" s="1" t="s">
        <v>125</v>
      </c>
      <c r="B13" s="1" t="s">
        <v>179</v>
      </c>
      <c r="C13" s="1" t="s">
        <v>53</v>
      </c>
      <c r="D13" s="1">
        <v>396</v>
      </c>
      <c r="E13" s="1">
        <v>29572692.384999901</v>
      </c>
      <c r="F13">
        <f t="shared" si="0"/>
        <v>2957.26923849999</v>
      </c>
      <c r="G13">
        <f t="shared" si="1"/>
        <v>29.5726923849999</v>
      </c>
      <c r="H13">
        <f t="shared" si="2"/>
        <v>4.739841865525625E-3</v>
      </c>
    </row>
    <row r="14" spans="1:8" ht="28.8" x14ac:dyDescent="0.3">
      <c r="A14" s="1" t="s">
        <v>124</v>
      </c>
      <c r="B14" s="1" t="s">
        <v>179</v>
      </c>
      <c r="C14" s="1" t="s">
        <v>53</v>
      </c>
      <c r="D14" s="1">
        <v>1327</v>
      </c>
      <c r="E14" s="1">
        <v>253340129.69999999</v>
      </c>
      <c r="F14">
        <f t="shared" si="0"/>
        <v>25334.01297</v>
      </c>
      <c r="G14">
        <f t="shared" si="1"/>
        <v>253.34012969999998</v>
      </c>
      <c r="H14">
        <f t="shared" si="2"/>
        <v>4.060476257409782E-2</v>
      </c>
    </row>
    <row r="15" spans="1:8" x14ac:dyDescent="0.3">
      <c r="A15" s="1" t="s">
        <v>127</v>
      </c>
      <c r="B15" s="1" t="s">
        <v>179</v>
      </c>
      <c r="C15" s="1" t="s">
        <v>53</v>
      </c>
      <c r="D15" s="1">
        <v>984</v>
      </c>
      <c r="E15" s="1">
        <v>49333431.727999903</v>
      </c>
      <c r="F15">
        <f t="shared" si="0"/>
        <v>4933.3431727999905</v>
      </c>
      <c r="G15">
        <f t="shared" si="1"/>
        <v>49.333431727999901</v>
      </c>
      <c r="H15">
        <f t="shared" si="2"/>
        <v>7.9070468806225636E-3</v>
      </c>
    </row>
    <row r="16" spans="1:8" x14ac:dyDescent="0.3">
      <c r="A16" s="1" t="s">
        <v>131</v>
      </c>
      <c r="B16" s="1" t="s">
        <v>179</v>
      </c>
      <c r="C16" s="1" t="s">
        <v>53</v>
      </c>
      <c r="D16" s="1">
        <v>2796</v>
      </c>
      <c r="E16" s="1">
        <v>298173706.96399897</v>
      </c>
      <c r="F16">
        <f t="shared" si="0"/>
        <v>29817.370696399896</v>
      </c>
      <c r="G16">
        <f t="shared" si="1"/>
        <v>298.173706963999</v>
      </c>
      <c r="H16">
        <f t="shared" si="2"/>
        <v>4.7790583321517095E-2</v>
      </c>
    </row>
    <row r="17" spans="1:8" x14ac:dyDescent="0.3">
      <c r="A17" s="1" t="s">
        <v>135</v>
      </c>
      <c r="B17" s="1" t="s">
        <v>179</v>
      </c>
      <c r="C17" s="1" t="s">
        <v>53</v>
      </c>
      <c r="D17" s="1">
        <v>11</v>
      </c>
      <c r="E17" s="1">
        <v>178101.42300000001</v>
      </c>
      <c r="F17">
        <f t="shared" si="0"/>
        <v>17.810142300000003</v>
      </c>
      <c r="G17">
        <f t="shared" si="1"/>
        <v>0.17810142300000001</v>
      </c>
      <c r="H17">
        <f t="shared" si="2"/>
        <v>2.8545678900487143E-5</v>
      </c>
    </row>
    <row r="18" spans="1:8" x14ac:dyDescent="0.3">
      <c r="A18" s="1" t="s">
        <v>136</v>
      </c>
      <c r="B18" s="1" t="s">
        <v>179</v>
      </c>
      <c r="C18" s="1" t="s">
        <v>53</v>
      </c>
      <c r="D18" s="1">
        <v>600</v>
      </c>
      <c r="E18" s="1">
        <v>37565518.783</v>
      </c>
      <c r="F18">
        <f t="shared" si="0"/>
        <v>3756.5518782999998</v>
      </c>
      <c r="G18">
        <f t="shared" si="1"/>
        <v>37.565518783000002</v>
      </c>
      <c r="H18">
        <f t="shared" si="2"/>
        <v>6.0209133585066108E-3</v>
      </c>
    </row>
    <row r="19" spans="1:8" x14ac:dyDescent="0.3">
      <c r="A19" s="1" t="s">
        <v>133</v>
      </c>
      <c r="B19" s="1" t="s">
        <v>179</v>
      </c>
      <c r="C19" s="1" t="s">
        <v>53</v>
      </c>
      <c r="D19" s="1">
        <v>35</v>
      </c>
      <c r="E19" s="1">
        <v>1572249.3060000001</v>
      </c>
      <c r="F19">
        <f t="shared" si="0"/>
        <v>157.22493060000002</v>
      </c>
      <c r="G19">
        <f t="shared" si="1"/>
        <v>1.572249306</v>
      </c>
      <c r="H19">
        <f t="shared" si="2"/>
        <v>2.5199643598911476E-4</v>
      </c>
    </row>
    <row r="20" spans="1:8" x14ac:dyDescent="0.3">
      <c r="A20" s="1" t="s">
        <v>137</v>
      </c>
      <c r="B20" s="1" t="s">
        <v>179</v>
      </c>
      <c r="C20" s="1" t="s">
        <v>53</v>
      </c>
      <c r="D20" s="1">
        <v>523</v>
      </c>
      <c r="E20" s="1">
        <v>30100237.3439999</v>
      </c>
      <c r="F20">
        <f t="shared" si="0"/>
        <v>3010.0237343999902</v>
      </c>
      <c r="G20">
        <f t="shared" si="1"/>
        <v>30.1002373439999</v>
      </c>
      <c r="H20">
        <f t="shared" si="2"/>
        <v>4.8243955358530351E-3</v>
      </c>
    </row>
    <row r="21" spans="1:8" x14ac:dyDescent="0.3">
      <c r="A21" s="1" t="s">
        <v>138</v>
      </c>
      <c r="B21" s="1" t="s">
        <v>179</v>
      </c>
      <c r="C21" s="1" t="s">
        <v>53</v>
      </c>
      <c r="D21" s="1">
        <v>1</v>
      </c>
      <c r="E21" s="1">
        <v>32481.531999999999</v>
      </c>
      <c r="F21">
        <f t="shared" si="0"/>
        <v>3.2481532</v>
      </c>
      <c r="G21">
        <f t="shared" si="1"/>
        <v>3.2481532E-2</v>
      </c>
      <c r="H21">
        <f t="shared" si="2"/>
        <v>5.2060638654633199E-6</v>
      </c>
    </row>
    <row r="22" spans="1:8" x14ac:dyDescent="0.3">
      <c r="A22" s="1" t="s">
        <v>139</v>
      </c>
      <c r="B22" s="1" t="s">
        <v>179</v>
      </c>
      <c r="C22" s="1" t="s">
        <v>53</v>
      </c>
      <c r="D22" s="1">
        <v>88</v>
      </c>
      <c r="E22" s="1">
        <v>2397097.3769999999</v>
      </c>
      <c r="F22">
        <f t="shared" si="0"/>
        <v>239.70973769999998</v>
      </c>
      <c r="G22">
        <f t="shared" si="1"/>
        <v>2.3970973769999997</v>
      </c>
      <c r="H22">
        <f t="shared" si="2"/>
        <v>3.8420115271646071E-4</v>
      </c>
    </row>
    <row r="23" spans="1:8" x14ac:dyDescent="0.3">
      <c r="A23" s="1" t="s">
        <v>101</v>
      </c>
      <c r="B23" s="1" t="s">
        <v>179</v>
      </c>
      <c r="C23" s="1" t="s">
        <v>53</v>
      </c>
      <c r="D23" s="1">
        <v>12</v>
      </c>
      <c r="E23" s="1">
        <v>856206.897</v>
      </c>
      <c r="F23">
        <f t="shared" si="0"/>
        <v>85.6206897</v>
      </c>
      <c r="G23">
        <f t="shared" si="1"/>
        <v>0.85620689699999997</v>
      </c>
      <c r="H23">
        <f t="shared" si="2"/>
        <v>1.3723083590491282E-4</v>
      </c>
    </row>
    <row r="24" spans="1:8" x14ac:dyDescent="0.3">
      <c r="A24" s="1" t="s">
        <v>140</v>
      </c>
      <c r="B24" s="1" t="s">
        <v>179</v>
      </c>
      <c r="C24" s="1" t="s">
        <v>53</v>
      </c>
      <c r="D24" s="1">
        <v>26</v>
      </c>
      <c r="E24" s="1">
        <v>1027571.19299999</v>
      </c>
      <c r="F24">
        <f t="shared" si="0"/>
        <v>102.75711929999899</v>
      </c>
      <c r="G24">
        <f t="shared" si="1"/>
        <v>1.02757119299999</v>
      </c>
      <c r="H24">
        <f t="shared" si="2"/>
        <v>1.6469670387062664E-4</v>
      </c>
    </row>
    <row r="25" spans="1:8" x14ac:dyDescent="0.3">
      <c r="A25" s="1" t="s">
        <v>141</v>
      </c>
      <c r="B25" s="1" t="s">
        <v>179</v>
      </c>
      <c r="C25" s="1" t="s">
        <v>53</v>
      </c>
      <c r="D25" s="1">
        <v>10</v>
      </c>
      <c r="E25" s="1">
        <v>541632.72600000002</v>
      </c>
      <c r="F25">
        <f t="shared" si="0"/>
        <v>54.163272599999999</v>
      </c>
      <c r="G25">
        <f t="shared" si="1"/>
        <v>0.54163272600000001</v>
      </c>
      <c r="H25">
        <f t="shared" si="2"/>
        <v>8.6811624623524391E-5</v>
      </c>
    </row>
    <row r="26" spans="1:8" x14ac:dyDescent="0.3">
      <c r="A26" s="1" t="s">
        <v>142</v>
      </c>
      <c r="B26" s="1" t="s">
        <v>179</v>
      </c>
      <c r="C26" s="1" t="s">
        <v>53</v>
      </c>
      <c r="D26" s="1">
        <v>106</v>
      </c>
      <c r="E26" s="1">
        <v>44999782.702</v>
      </c>
      <c r="F26">
        <f t="shared" si="0"/>
        <v>4499.9782702000002</v>
      </c>
      <c r="G26">
        <f t="shared" si="1"/>
        <v>44.999782701999997</v>
      </c>
      <c r="H26">
        <f t="shared" si="2"/>
        <v>7.2124597657088211E-3</v>
      </c>
    </row>
    <row r="27" spans="1:8" x14ac:dyDescent="0.3">
      <c r="A27" s="1" t="s">
        <v>143</v>
      </c>
      <c r="B27" s="1" t="s">
        <v>179</v>
      </c>
      <c r="C27" s="1" t="s">
        <v>53</v>
      </c>
      <c r="D27" s="1">
        <v>442</v>
      </c>
      <c r="E27" s="1">
        <v>20752686.602000002</v>
      </c>
      <c r="F27">
        <f t="shared" si="0"/>
        <v>2075.2686602000003</v>
      </c>
      <c r="G27">
        <f t="shared" si="1"/>
        <v>20.752686602000001</v>
      </c>
      <c r="H27">
        <f t="shared" si="2"/>
        <v>3.3261919982701857E-3</v>
      </c>
    </row>
    <row r="28" spans="1:8" x14ac:dyDescent="0.3">
      <c r="A28" s="1" t="s">
        <v>144</v>
      </c>
      <c r="B28" s="1" t="s">
        <v>179</v>
      </c>
      <c r="C28" s="1" t="s">
        <v>53</v>
      </c>
      <c r="D28" s="1">
        <v>2</v>
      </c>
      <c r="E28" s="1">
        <v>19194.894</v>
      </c>
      <c r="F28">
        <f t="shared" si="0"/>
        <v>1.9194894</v>
      </c>
      <c r="G28">
        <f t="shared" si="1"/>
        <v>1.9194894000000001E-2</v>
      </c>
      <c r="H28">
        <f t="shared" si="2"/>
        <v>3.0765126489353609E-6</v>
      </c>
    </row>
    <row r="29" spans="1:8" x14ac:dyDescent="0.3">
      <c r="A29" s="1" t="s">
        <v>145</v>
      </c>
      <c r="B29" s="1" t="s">
        <v>179</v>
      </c>
      <c r="C29" s="1" t="s">
        <v>53</v>
      </c>
      <c r="D29" s="1">
        <v>1</v>
      </c>
      <c r="E29" s="1">
        <v>9793.3819999999996</v>
      </c>
      <c r="F29">
        <f t="shared" si="0"/>
        <v>0.97933819999999994</v>
      </c>
      <c r="G29">
        <f t="shared" si="1"/>
        <v>9.7933819999999998E-3</v>
      </c>
      <c r="H29">
        <f t="shared" si="2"/>
        <v>1.5696603273170397E-6</v>
      </c>
    </row>
    <row r="30" spans="1:8" x14ac:dyDescent="0.3">
      <c r="A30" s="1" t="s">
        <v>134</v>
      </c>
      <c r="B30" s="1" t="s">
        <v>179</v>
      </c>
      <c r="C30" s="1" t="s">
        <v>53</v>
      </c>
      <c r="D30" s="1">
        <v>5</v>
      </c>
      <c r="E30" s="1">
        <v>114334.023999999</v>
      </c>
      <c r="F30">
        <f t="shared" si="0"/>
        <v>11.433402399999901</v>
      </c>
      <c r="G30">
        <f t="shared" si="1"/>
        <v>0.11433402399999901</v>
      </c>
      <c r="H30">
        <f t="shared" si="2"/>
        <v>1.8325189555080432E-5</v>
      </c>
    </row>
    <row r="31" spans="1:8" x14ac:dyDescent="0.3">
      <c r="A31" s="1" t="s">
        <v>146</v>
      </c>
      <c r="B31" s="1" t="s">
        <v>179</v>
      </c>
      <c r="C31" s="1" t="s">
        <v>53</v>
      </c>
      <c r="D31" s="1">
        <v>2</v>
      </c>
      <c r="E31" s="1">
        <v>6192.6580000000004</v>
      </c>
      <c r="F31">
        <f t="shared" si="0"/>
        <v>0.61926580000000009</v>
      </c>
      <c r="G31">
        <f t="shared" si="1"/>
        <v>6.1926580000000002E-3</v>
      </c>
      <c r="H31">
        <f t="shared" si="2"/>
        <v>9.9254471879504803E-7</v>
      </c>
    </row>
    <row r="32" spans="1:8" x14ac:dyDescent="0.3">
      <c r="A32" s="1" t="s">
        <v>100</v>
      </c>
      <c r="B32" s="1" t="s">
        <v>179</v>
      </c>
      <c r="C32" s="1" t="s">
        <v>53</v>
      </c>
      <c r="D32" s="1">
        <v>104</v>
      </c>
      <c r="E32" s="1">
        <v>9122277.6429999992</v>
      </c>
      <c r="F32">
        <f t="shared" si="0"/>
        <v>912.22776429999988</v>
      </c>
      <c r="G32">
        <f t="shared" si="1"/>
        <v>9.1222776429999985</v>
      </c>
      <c r="H32">
        <f t="shared" si="2"/>
        <v>1.4620972929462255E-3</v>
      </c>
    </row>
    <row r="33" spans="1:8" x14ac:dyDescent="0.3">
      <c r="A33" s="1" t="s">
        <v>147</v>
      </c>
      <c r="B33" s="1" t="s">
        <v>179</v>
      </c>
      <c r="C33" s="1" t="s">
        <v>53</v>
      </c>
      <c r="D33" s="1">
        <v>1</v>
      </c>
      <c r="E33" s="1">
        <v>1695.9480000000001</v>
      </c>
      <c r="F33">
        <f t="shared" si="0"/>
        <v>0.16959480000000002</v>
      </c>
      <c r="G33">
        <f t="shared" si="1"/>
        <v>1.6959480000000001E-3</v>
      </c>
      <c r="H33">
        <f t="shared" si="2"/>
        <v>2.7182257291635097E-7</v>
      </c>
    </row>
    <row r="34" spans="1:8" x14ac:dyDescent="0.3">
      <c r="A34" s="1" t="s">
        <v>98</v>
      </c>
      <c r="B34" s="1" t="s">
        <v>179</v>
      </c>
      <c r="C34" s="1" t="s">
        <v>53</v>
      </c>
      <c r="D34" s="1">
        <v>94</v>
      </c>
      <c r="E34" s="1">
        <v>4544047.7339999899</v>
      </c>
      <c r="F34">
        <f t="shared" si="0"/>
        <v>454.40477339999899</v>
      </c>
      <c r="G34">
        <f t="shared" si="1"/>
        <v>4.5440477339999896</v>
      </c>
      <c r="H34">
        <f t="shared" si="2"/>
        <v>7.2830932700212016E-4</v>
      </c>
    </row>
    <row r="35" spans="1:8" x14ac:dyDescent="0.3">
      <c r="A35" s="1" t="s">
        <v>148</v>
      </c>
      <c r="B35" s="1" t="s">
        <v>179</v>
      </c>
      <c r="C35" s="1" t="s">
        <v>53</v>
      </c>
      <c r="D35" s="1">
        <v>1</v>
      </c>
      <c r="E35" s="1">
        <v>18901.133000000002</v>
      </c>
      <c r="F35">
        <f t="shared" si="0"/>
        <v>1.8901133000000001</v>
      </c>
      <c r="G35">
        <f t="shared" si="1"/>
        <v>1.8901133000000001E-2</v>
      </c>
      <c r="H35">
        <f t="shared" si="2"/>
        <v>3.0294293239498779E-6</v>
      </c>
    </row>
    <row r="36" spans="1:8" x14ac:dyDescent="0.3">
      <c r="A36" s="1" t="s">
        <v>103</v>
      </c>
      <c r="B36" s="1" t="s">
        <v>179</v>
      </c>
      <c r="C36" s="1" t="s">
        <v>53</v>
      </c>
      <c r="D36" s="1">
        <v>4</v>
      </c>
      <c r="E36" s="1">
        <v>80417.864000000001</v>
      </c>
      <c r="F36">
        <f t="shared" si="0"/>
        <v>8.0417863999999994</v>
      </c>
      <c r="G36">
        <f t="shared" si="1"/>
        <v>8.0417864000000006E-2</v>
      </c>
      <c r="H36">
        <f t="shared" si="2"/>
        <v>1.2889186874194961E-5</v>
      </c>
    </row>
    <row r="37" spans="1:8" ht="28.8" x14ac:dyDescent="0.3">
      <c r="A37" s="1" t="s">
        <v>155</v>
      </c>
      <c r="B37" s="1" t="s">
        <v>179</v>
      </c>
      <c r="C37" s="1" t="s">
        <v>53</v>
      </c>
      <c r="D37" s="1">
        <v>683</v>
      </c>
      <c r="E37" s="1">
        <v>24349753.609999999</v>
      </c>
      <c r="F37">
        <f t="shared" si="0"/>
        <v>2434.9753609999998</v>
      </c>
      <c r="G37">
        <f t="shared" si="1"/>
        <v>24.34975361</v>
      </c>
      <c r="H37">
        <f t="shared" si="2"/>
        <v>3.9027214726804153E-3</v>
      </c>
    </row>
    <row r="38" spans="1:8" x14ac:dyDescent="0.3">
      <c r="A38" s="1" t="s">
        <v>149</v>
      </c>
      <c r="B38" s="1" t="s">
        <v>179</v>
      </c>
      <c r="C38" s="1" t="s">
        <v>53</v>
      </c>
      <c r="D38" s="1">
        <v>97</v>
      </c>
      <c r="E38" s="1">
        <v>16062232.306999899</v>
      </c>
      <c r="F38">
        <f t="shared" si="0"/>
        <v>1606.2232306999899</v>
      </c>
      <c r="G38">
        <f t="shared" si="1"/>
        <v>16.062232306999899</v>
      </c>
      <c r="H38">
        <f t="shared" si="2"/>
        <v>2.5744169706080895E-3</v>
      </c>
    </row>
    <row r="39" spans="1:8" ht="43.2" x14ac:dyDescent="0.3">
      <c r="A39" s="1" t="s">
        <v>158</v>
      </c>
      <c r="B39" s="1" t="s">
        <v>179</v>
      </c>
      <c r="C39" s="1" t="s">
        <v>53</v>
      </c>
      <c r="D39" s="1">
        <v>85</v>
      </c>
      <c r="E39" s="1">
        <v>1479812.382</v>
      </c>
      <c r="F39">
        <f t="shared" si="0"/>
        <v>147.98123820000001</v>
      </c>
      <c r="G39">
        <f t="shared" si="1"/>
        <v>1.479812382</v>
      </c>
      <c r="H39">
        <f t="shared" si="2"/>
        <v>2.3718086233110567E-4</v>
      </c>
    </row>
    <row r="40" spans="1:8" ht="28.8" x14ac:dyDescent="0.3">
      <c r="A40" s="1" t="s">
        <v>150</v>
      </c>
      <c r="B40" s="1" t="s">
        <v>179</v>
      </c>
      <c r="C40" s="1" t="s">
        <v>53</v>
      </c>
      <c r="D40" s="1">
        <v>25</v>
      </c>
      <c r="E40" s="1">
        <v>106616.579</v>
      </c>
      <c r="F40">
        <f t="shared" si="0"/>
        <v>10.6616579</v>
      </c>
      <c r="G40">
        <f t="shared" si="1"/>
        <v>0.106616579</v>
      </c>
      <c r="H40">
        <f t="shared" si="2"/>
        <v>1.708825554752822E-5</v>
      </c>
    </row>
    <row r="41" spans="1:8" ht="28.8" x14ac:dyDescent="0.3">
      <c r="A41" s="1" t="s">
        <v>151</v>
      </c>
      <c r="B41" s="1" t="s">
        <v>179</v>
      </c>
      <c r="C41" s="1" t="s">
        <v>53</v>
      </c>
      <c r="D41" s="1">
        <v>216</v>
      </c>
      <c r="E41" s="1">
        <v>25286028.144999899</v>
      </c>
      <c r="F41">
        <f t="shared" si="0"/>
        <v>2528.60281449999</v>
      </c>
      <c r="G41">
        <f t="shared" si="1"/>
        <v>25.2860281449999</v>
      </c>
      <c r="H41">
        <f t="shared" si="2"/>
        <v>4.0527853620565832E-3</v>
      </c>
    </row>
    <row r="42" spans="1:8" ht="28.8" x14ac:dyDescent="0.3">
      <c r="A42" s="1" t="s">
        <v>153</v>
      </c>
      <c r="B42" s="1" t="s">
        <v>179</v>
      </c>
      <c r="C42" s="1" t="s">
        <v>53</v>
      </c>
      <c r="D42" s="1">
        <v>12</v>
      </c>
      <c r="E42" s="1">
        <v>131364.46099999899</v>
      </c>
      <c r="F42">
        <f t="shared" si="0"/>
        <v>13.136446099999899</v>
      </c>
      <c r="G42">
        <f t="shared" si="1"/>
        <v>0.13136446099999899</v>
      </c>
      <c r="H42">
        <f t="shared" si="2"/>
        <v>2.1054788105996982E-5</v>
      </c>
    </row>
    <row r="43" spans="1:8" ht="28.8" x14ac:dyDescent="0.3">
      <c r="A43" s="1" t="s">
        <v>154</v>
      </c>
      <c r="B43" s="1" t="s">
        <v>179</v>
      </c>
      <c r="C43" s="1" t="s">
        <v>53</v>
      </c>
      <c r="D43" s="1">
        <v>5</v>
      </c>
      <c r="E43" s="1">
        <v>155773.84599999999</v>
      </c>
      <c r="F43">
        <f t="shared" si="0"/>
        <v>15.577384599999998</v>
      </c>
      <c r="G43">
        <f t="shared" si="1"/>
        <v>0.15577384599999999</v>
      </c>
      <c r="H43">
        <f t="shared" si="2"/>
        <v>2.4967067158188471E-5</v>
      </c>
    </row>
    <row r="44" spans="1:8" x14ac:dyDescent="0.3">
      <c r="A44" s="1" t="s">
        <v>172</v>
      </c>
      <c r="B44" s="1" t="s">
        <v>179</v>
      </c>
      <c r="C44" s="1" t="s">
        <v>53</v>
      </c>
      <c r="D44" s="1">
        <v>1</v>
      </c>
      <c r="E44" s="1">
        <v>17387.773000000001</v>
      </c>
      <c r="F44">
        <f t="shared" si="0"/>
        <v>1.7387773000000002</v>
      </c>
      <c r="G44">
        <f t="shared" si="1"/>
        <v>1.7387773000000002E-2</v>
      </c>
      <c r="H44">
        <f t="shared" si="2"/>
        <v>2.7868715279863882E-6</v>
      </c>
    </row>
    <row r="45" spans="1:8" ht="15" customHeight="1" x14ac:dyDescent="0.3">
      <c r="A45" s="1"/>
      <c r="B45" s="2" t="s">
        <v>181</v>
      </c>
      <c r="C45" s="1" t="s">
        <v>51</v>
      </c>
      <c r="D45" s="1">
        <v>8294</v>
      </c>
      <c r="E45" s="1">
        <v>47830645.909999803</v>
      </c>
      <c r="F45">
        <f t="shared" si="0"/>
        <v>4783.0645909999803</v>
      </c>
      <c r="G45">
        <f t="shared" si="1"/>
        <v>47.830645909999802</v>
      </c>
      <c r="H45">
        <f>E45/SUM($E$45:$E$62)</f>
        <v>4.7459931559668316E-2</v>
      </c>
    </row>
    <row r="46" spans="1:8" ht="15" customHeight="1" x14ac:dyDescent="0.3">
      <c r="A46" s="1" t="s">
        <v>169</v>
      </c>
      <c r="B46" s="2" t="s">
        <v>180</v>
      </c>
      <c r="C46" s="1" t="s">
        <v>51</v>
      </c>
      <c r="D46" s="1">
        <v>24</v>
      </c>
      <c r="E46" s="1">
        <v>8711886.2430000007</v>
      </c>
      <c r="F46">
        <f t="shared" si="0"/>
        <v>871.18862430000001</v>
      </c>
      <c r="G46">
        <f t="shared" si="1"/>
        <v>8.7118862430000004</v>
      </c>
      <c r="H46">
        <f t="shared" ref="H46:H62" si="3">E46/SUM($E$45:$E$62)</f>
        <v>8.6443642351472835E-3</v>
      </c>
    </row>
    <row r="47" spans="1:8" ht="15" customHeight="1" x14ac:dyDescent="0.3">
      <c r="A47" s="1" t="s">
        <v>165</v>
      </c>
      <c r="B47" s="2" t="s">
        <v>180</v>
      </c>
      <c r="C47" s="1" t="s">
        <v>51</v>
      </c>
      <c r="D47" s="1">
        <v>719</v>
      </c>
      <c r="E47" s="1">
        <v>352405857.544999</v>
      </c>
      <c r="F47">
        <f t="shared" si="0"/>
        <v>35240.585754499902</v>
      </c>
      <c r="G47">
        <f t="shared" si="1"/>
        <v>352.40585754499898</v>
      </c>
      <c r="H47">
        <f t="shared" si="3"/>
        <v>0.34967451436433977</v>
      </c>
    </row>
    <row r="48" spans="1:8" ht="15" customHeight="1" x14ac:dyDescent="0.3">
      <c r="A48" s="1" t="s">
        <v>168</v>
      </c>
      <c r="B48" s="2" t="s">
        <v>180</v>
      </c>
      <c r="C48" s="1" t="s">
        <v>51</v>
      </c>
      <c r="D48" s="1">
        <v>110</v>
      </c>
      <c r="E48" s="1">
        <v>42313304.167000003</v>
      </c>
      <c r="F48">
        <f t="shared" si="0"/>
        <v>4231.3304167000006</v>
      </c>
      <c r="G48">
        <f t="shared" si="1"/>
        <v>42.313304167000005</v>
      </c>
      <c r="H48">
        <f t="shared" si="3"/>
        <v>4.1985352311736251E-2</v>
      </c>
    </row>
    <row r="49" spans="1:8" ht="15" customHeight="1" x14ac:dyDescent="0.3">
      <c r="A49" s="1" t="s">
        <v>166</v>
      </c>
      <c r="B49" s="2" t="s">
        <v>180</v>
      </c>
      <c r="C49" s="1" t="s">
        <v>51</v>
      </c>
      <c r="D49" s="1">
        <v>89</v>
      </c>
      <c r="E49" s="1">
        <v>6752947.8459999999</v>
      </c>
      <c r="F49">
        <f t="shared" si="0"/>
        <v>675.29478459999996</v>
      </c>
      <c r="G49">
        <f t="shared" si="1"/>
        <v>6.7529478459999996</v>
      </c>
      <c r="H49">
        <f t="shared" si="3"/>
        <v>6.7006087101609641E-3</v>
      </c>
    </row>
    <row r="50" spans="1:8" ht="15" customHeight="1" x14ac:dyDescent="0.3">
      <c r="A50" s="1" t="s">
        <v>164</v>
      </c>
      <c r="B50" s="2" t="s">
        <v>180</v>
      </c>
      <c r="C50" s="1" t="s">
        <v>51</v>
      </c>
      <c r="D50" s="1">
        <v>377</v>
      </c>
      <c r="E50" s="1">
        <v>50985595.339000002</v>
      </c>
      <c r="F50">
        <f t="shared" si="0"/>
        <v>5098.5595339000001</v>
      </c>
      <c r="G50">
        <f t="shared" si="1"/>
        <v>50.985595339</v>
      </c>
      <c r="H50">
        <f t="shared" si="3"/>
        <v>5.0590428359906167E-2</v>
      </c>
    </row>
    <row r="51" spans="1:8" ht="15" customHeight="1" x14ac:dyDescent="0.3">
      <c r="A51" s="1" t="s">
        <v>170</v>
      </c>
      <c r="B51" s="2" t="s">
        <v>180</v>
      </c>
      <c r="C51" s="1" t="s">
        <v>51</v>
      </c>
      <c r="D51" s="1">
        <v>20</v>
      </c>
      <c r="E51" s="1">
        <v>9888831.3279999997</v>
      </c>
      <c r="F51">
        <f t="shared" si="0"/>
        <v>988.8831328</v>
      </c>
      <c r="G51">
        <f t="shared" si="1"/>
        <v>9.8888313280000002</v>
      </c>
      <c r="H51">
        <f t="shared" si="3"/>
        <v>9.812187335188462E-3</v>
      </c>
    </row>
    <row r="52" spans="1:8" ht="15" customHeight="1" x14ac:dyDescent="0.3">
      <c r="A52" s="1" t="s">
        <v>167</v>
      </c>
      <c r="B52" s="2" t="s">
        <v>180</v>
      </c>
      <c r="C52" s="1" t="s">
        <v>51</v>
      </c>
      <c r="D52" s="1">
        <v>151</v>
      </c>
      <c r="E52" s="1">
        <v>16988353.774</v>
      </c>
      <c r="F52">
        <f t="shared" si="0"/>
        <v>1698.8353774</v>
      </c>
      <c r="G52">
        <f t="shared" si="1"/>
        <v>16.988353774</v>
      </c>
      <c r="H52">
        <f t="shared" si="3"/>
        <v>1.6856684497687485E-2</v>
      </c>
    </row>
    <row r="53" spans="1:8" ht="15" customHeight="1" x14ac:dyDescent="0.3">
      <c r="A53" s="1" t="s">
        <v>171</v>
      </c>
      <c r="B53" s="2" t="s">
        <v>180</v>
      </c>
      <c r="C53" s="1" t="s">
        <v>51</v>
      </c>
      <c r="D53" s="1">
        <v>339</v>
      </c>
      <c r="E53" s="1">
        <v>120673088.095999</v>
      </c>
      <c r="F53">
        <f t="shared" si="0"/>
        <v>12067.308809599901</v>
      </c>
      <c r="G53">
        <f t="shared" si="1"/>
        <v>120.67308809599901</v>
      </c>
      <c r="H53">
        <f t="shared" si="3"/>
        <v>0.11973780393654654</v>
      </c>
    </row>
    <row r="54" spans="1:8" ht="15" customHeight="1" x14ac:dyDescent="0.3">
      <c r="A54" s="1" t="s">
        <v>172</v>
      </c>
      <c r="B54" s="2" t="s">
        <v>180</v>
      </c>
      <c r="C54" s="1" t="s">
        <v>51</v>
      </c>
      <c r="D54" s="1">
        <v>3</v>
      </c>
      <c r="E54" s="1">
        <v>14651345.757999999</v>
      </c>
      <c r="F54">
        <f t="shared" si="0"/>
        <v>1465.1345758</v>
      </c>
      <c r="G54">
        <f t="shared" si="1"/>
        <v>14.651345758</v>
      </c>
      <c r="H54">
        <f t="shared" si="3"/>
        <v>1.453778960543666E-2</v>
      </c>
    </row>
    <row r="55" spans="1:8" ht="43.2" x14ac:dyDescent="0.3">
      <c r="A55" s="1" t="s">
        <v>161</v>
      </c>
      <c r="B55" s="1" t="s">
        <v>179</v>
      </c>
      <c r="C55" s="1" t="s">
        <v>51</v>
      </c>
      <c r="D55" s="1">
        <v>1</v>
      </c>
      <c r="E55" s="1">
        <v>7687.0690000000004</v>
      </c>
      <c r="F55">
        <f t="shared" si="0"/>
        <v>0.76870690000000008</v>
      </c>
      <c r="G55">
        <f t="shared" si="1"/>
        <v>7.6870690000000004E-3</v>
      </c>
      <c r="H55">
        <f t="shared" si="3"/>
        <v>7.6274899009501893E-6</v>
      </c>
    </row>
    <row r="56" spans="1:8" ht="43.2" x14ac:dyDescent="0.3">
      <c r="A56" s="1" t="s">
        <v>121</v>
      </c>
      <c r="B56" s="1" t="s">
        <v>179</v>
      </c>
      <c r="C56" s="1" t="s">
        <v>51</v>
      </c>
      <c r="D56" s="1">
        <v>8</v>
      </c>
      <c r="E56" s="1">
        <v>94163158.427000001</v>
      </c>
      <c r="F56">
        <f t="shared" si="0"/>
        <v>9416.3158426999998</v>
      </c>
      <c r="G56">
        <f t="shared" si="1"/>
        <v>94.163158426999999</v>
      </c>
      <c r="H56">
        <f t="shared" si="3"/>
        <v>9.3433341100946948E-2</v>
      </c>
    </row>
    <row r="57" spans="1:8" ht="43.2" x14ac:dyDescent="0.3">
      <c r="A57" s="1" t="s">
        <v>158</v>
      </c>
      <c r="B57" s="1" t="s">
        <v>179</v>
      </c>
      <c r="C57" s="1" t="s">
        <v>51</v>
      </c>
      <c r="D57" s="1">
        <v>1</v>
      </c>
      <c r="E57" s="1">
        <v>55805.228999999999</v>
      </c>
      <c r="F57">
        <f t="shared" si="0"/>
        <v>5.5805229000000001</v>
      </c>
      <c r="G57">
        <f t="shared" si="1"/>
        <v>5.5805228999999998E-2</v>
      </c>
      <c r="H57">
        <f t="shared" si="3"/>
        <v>5.5372707155056447E-5</v>
      </c>
    </row>
    <row r="58" spans="1:8" ht="28.8" x14ac:dyDescent="0.3">
      <c r="A58" s="1" t="s">
        <v>122</v>
      </c>
      <c r="B58" s="1" t="s">
        <v>179</v>
      </c>
      <c r="C58" s="1" t="s">
        <v>51</v>
      </c>
      <c r="D58" s="1">
        <v>9</v>
      </c>
      <c r="E58" s="1">
        <v>205193366.43000001</v>
      </c>
      <c r="F58">
        <f t="shared" si="0"/>
        <v>20519.336643000002</v>
      </c>
      <c r="G58">
        <f t="shared" si="1"/>
        <v>205.19336643</v>
      </c>
      <c r="H58">
        <f t="shared" si="3"/>
        <v>0.2036030026771968</v>
      </c>
    </row>
    <row r="59" spans="1:8" ht="43.2" x14ac:dyDescent="0.3">
      <c r="A59" s="1" t="s">
        <v>124</v>
      </c>
      <c r="B59" s="1" t="s">
        <v>179</v>
      </c>
      <c r="C59" s="1" t="s">
        <v>51</v>
      </c>
      <c r="D59" s="1">
        <v>8</v>
      </c>
      <c r="E59" s="1">
        <v>30118604.787999999</v>
      </c>
      <c r="F59">
        <f t="shared" si="0"/>
        <v>3011.8604787999998</v>
      </c>
      <c r="G59">
        <f t="shared" si="1"/>
        <v>30.118604787999999</v>
      </c>
      <c r="H59">
        <f t="shared" si="3"/>
        <v>2.988516869709118E-2</v>
      </c>
    </row>
    <row r="60" spans="1:8" ht="28.8" x14ac:dyDescent="0.3">
      <c r="A60" s="1" t="s">
        <v>141</v>
      </c>
      <c r="B60" s="1" t="s">
        <v>179</v>
      </c>
      <c r="C60" s="1" t="s">
        <v>51</v>
      </c>
      <c r="D60" s="1">
        <v>1</v>
      </c>
      <c r="E60" s="1">
        <v>1961.74</v>
      </c>
      <c r="F60">
        <f t="shared" si="0"/>
        <v>0.19617399999999999</v>
      </c>
      <c r="G60">
        <f t="shared" si="1"/>
        <v>1.96174E-3</v>
      </c>
      <c r="H60">
        <f t="shared" si="3"/>
        <v>1.9465354139906931E-6</v>
      </c>
    </row>
    <row r="61" spans="1:8" ht="28.8" x14ac:dyDescent="0.3">
      <c r="A61" s="1" t="s">
        <v>127</v>
      </c>
      <c r="B61" s="1" t="s">
        <v>179</v>
      </c>
      <c r="C61" s="1" t="s">
        <v>51</v>
      </c>
      <c r="D61" s="1">
        <v>1</v>
      </c>
      <c r="E61" s="1">
        <v>2655779.5279999999</v>
      </c>
      <c r="F61">
        <f t="shared" si="0"/>
        <v>265.57795279999999</v>
      </c>
      <c r="G61">
        <f t="shared" si="1"/>
        <v>2.6557795280000001</v>
      </c>
      <c r="H61">
        <f t="shared" si="3"/>
        <v>2.6351957461251173E-3</v>
      </c>
    </row>
    <row r="62" spans="1:8" ht="28.8" x14ac:dyDescent="0.3">
      <c r="A62" s="1" t="s">
        <v>135</v>
      </c>
      <c r="B62" s="1" t="s">
        <v>179</v>
      </c>
      <c r="C62" s="1" t="s">
        <v>51</v>
      </c>
      <c r="D62" s="1">
        <v>3</v>
      </c>
      <c r="E62" s="1">
        <v>4412882.4459999902</v>
      </c>
      <c r="F62">
        <f t="shared" si="0"/>
        <v>441.28824459999902</v>
      </c>
      <c r="G62">
        <f t="shared" si="1"/>
        <v>4.4128824459999905</v>
      </c>
      <c r="H62">
        <f t="shared" si="3"/>
        <v>4.3786801303520619E-3</v>
      </c>
    </row>
    <row r="63" spans="1:8" x14ac:dyDescent="0.3">
      <c r="A63" s="1" t="s">
        <v>95</v>
      </c>
      <c r="B63" s="1" t="s">
        <v>179</v>
      </c>
      <c r="C63" s="1" t="s">
        <v>50</v>
      </c>
      <c r="D63" s="1">
        <v>116</v>
      </c>
      <c r="E63" s="1">
        <v>8466148.6499999892</v>
      </c>
      <c r="F63">
        <f t="shared" si="0"/>
        <v>846.61486499999887</v>
      </c>
      <c r="G63">
        <f t="shared" si="1"/>
        <v>8.4661486499999885</v>
      </c>
      <c r="H63">
        <f>E63/SUM($E$63:$E$87)</f>
        <v>1.5665343648418775E-2</v>
      </c>
    </row>
    <row r="64" spans="1:8" ht="28.8" x14ac:dyDescent="0.3">
      <c r="A64" s="1" t="s">
        <v>119</v>
      </c>
      <c r="B64" s="1" t="s">
        <v>179</v>
      </c>
      <c r="C64" s="1" t="s">
        <v>50</v>
      </c>
      <c r="D64" s="1">
        <v>6</v>
      </c>
      <c r="E64" s="1">
        <v>1128773.946</v>
      </c>
      <c r="F64">
        <f t="shared" si="0"/>
        <v>112.8773946</v>
      </c>
      <c r="G64">
        <f t="shared" si="1"/>
        <v>1.1287739459999999</v>
      </c>
      <c r="H64">
        <f t="shared" ref="H64:H87" si="4">E64/SUM($E$63:$E$87)</f>
        <v>2.088627603470171E-3</v>
      </c>
    </row>
    <row r="65" spans="1:8" ht="28.8" x14ac:dyDescent="0.3">
      <c r="A65" s="1" t="s">
        <v>120</v>
      </c>
      <c r="B65" s="1" t="s">
        <v>179</v>
      </c>
      <c r="C65" s="1" t="s">
        <v>50</v>
      </c>
      <c r="D65" s="1">
        <v>448</v>
      </c>
      <c r="E65" s="1">
        <v>58860408.868000001</v>
      </c>
      <c r="F65">
        <f t="shared" si="0"/>
        <v>5886.0408868000004</v>
      </c>
      <c r="G65">
        <f t="shared" si="1"/>
        <v>58.860408868</v>
      </c>
      <c r="H65">
        <f t="shared" si="4"/>
        <v>0.10891239574486532</v>
      </c>
    </row>
    <row r="66" spans="1:8" ht="43.2" x14ac:dyDescent="0.3">
      <c r="A66" s="1" t="s">
        <v>121</v>
      </c>
      <c r="B66" s="1" t="s">
        <v>179</v>
      </c>
      <c r="C66" s="1" t="s">
        <v>50</v>
      </c>
      <c r="D66" s="1">
        <v>1175</v>
      </c>
      <c r="E66" s="1">
        <v>123966697.138999</v>
      </c>
      <c r="F66">
        <f t="shared" si="0"/>
        <v>12396.669713899901</v>
      </c>
      <c r="G66">
        <f t="shared" si="1"/>
        <v>123.966697138999</v>
      </c>
      <c r="H66">
        <f t="shared" si="4"/>
        <v>0.22938185849617401</v>
      </c>
    </row>
    <row r="67" spans="1:8" ht="28.8" x14ac:dyDescent="0.3">
      <c r="A67" s="1" t="s">
        <v>122</v>
      </c>
      <c r="B67" s="1" t="s">
        <v>179</v>
      </c>
      <c r="C67" s="1" t="s">
        <v>50</v>
      </c>
      <c r="D67" s="1">
        <v>121</v>
      </c>
      <c r="E67" s="1">
        <v>7059886.824</v>
      </c>
      <c r="F67">
        <f t="shared" ref="F67:F130" si="5">E67/10000</f>
        <v>705.98868240000002</v>
      </c>
      <c r="G67">
        <f t="shared" ref="G67:G130" si="6">E67/1000000</f>
        <v>7.0598868240000003</v>
      </c>
      <c r="H67">
        <f t="shared" si="4"/>
        <v>1.3063266166121941E-2</v>
      </c>
    </row>
    <row r="68" spans="1:8" ht="28.8" x14ac:dyDescent="0.3">
      <c r="A68" s="1" t="s">
        <v>123</v>
      </c>
      <c r="B68" s="1" t="s">
        <v>179</v>
      </c>
      <c r="C68" s="1" t="s">
        <v>50</v>
      </c>
      <c r="D68" s="1">
        <v>493</v>
      </c>
      <c r="E68" s="1">
        <v>39679893.431000002</v>
      </c>
      <c r="F68">
        <f t="shared" si="5"/>
        <v>3967.9893431</v>
      </c>
      <c r="G68">
        <f t="shared" si="6"/>
        <v>39.679893431000004</v>
      </c>
      <c r="H68">
        <f t="shared" si="4"/>
        <v>7.3421716559305933E-2</v>
      </c>
    </row>
    <row r="69" spans="1:8" ht="43.2" x14ac:dyDescent="0.3">
      <c r="A69" s="1" t="s">
        <v>124</v>
      </c>
      <c r="B69" s="1" t="s">
        <v>179</v>
      </c>
      <c r="C69" s="1" t="s">
        <v>50</v>
      </c>
      <c r="D69" s="1">
        <v>861</v>
      </c>
      <c r="E69" s="1">
        <v>98161593.618000001</v>
      </c>
      <c r="F69">
        <f t="shared" si="5"/>
        <v>9816.1593618000006</v>
      </c>
      <c r="G69">
        <f t="shared" si="6"/>
        <v>98.161593617999998</v>
      </c>
      <c r="H69">
        <f t="shared" si="4"/>
        <v>0.18163336845052955</v>
      </c>
    </row>
    <row r="70" spans="1:8" ht="28.8" x14ac:dyDescent="0.3">
      <c r="A70" s="1" t="s">
        <v>125</v>
      </c>
      <c r="B70" s="1" t="s">
        <v>179</v>
      </c>
      <c r="C70" s="1" t="s">
        <v>50</v>
      </c>
      <c r="D70" s="1">
        <v>166</v>
      </c>
      <c r="E70" s="1">
        <v>5612814.23999999</v>
      </c>
      <c r="F70">
        <f t="shared" si="5"/>
        <v>561.28142399999899</v>
      </c>
      <c r="G70">
        <f t="shared" si="6"/>
        <v>5.6128142399999899</v>
      </c>
      <c r="H70">
        <f t="shared" si="4"/>
        <v>1.0385674471276666E-2</v>
      </c>
    </row>
    <row r="71" spans="1:8" ht="28.8" x14ac:dyDescent="0.3">
      <c r="A71" s="1" t="s">
        <v>127</v>
      </c>
      <c r="B71" s="1" t="s">
        <v>179</v>
      </c>
      <c r="C71" s="1" t="s">
        <v>50</v>
      </c>
      <c r="D71" s="1">
        <v>143</v>
      </c>
      <c r="E71" s="1">
        <v>6735304.5039999997</v>
      </c>
      <c r="F71">
        <f t="shared" si="5"/>
        <v>673.53045039999995</v>
      </c>
      <c r="G71">
        <f t="shared" si="6"/>
        <v>6.7353045040000001</v>
      </c>
      <c r="H71">
        <f t="shared" si="4"/>
        <v>1.246267505968052E-2</v>
      </c>
    </row>
    <row r="72" spans="1:8" ht="28.8" x14ac:dyDescent="0.3">
      <c r="A72" s="1" t="s">
        <v>101</v>
      </c>
      <c r="B72" s="1" t="s">
        <v>179</v>
      </c>
      <c r="C72" s="1" t="s">
        <v>50</v>
      </c>
      <c r="D72" s="1">
        <v>148</v>
      </c>
      <c r="E72" s="1">
        <v>5501971.6119999904</v>
      </c>
      <c r="F72">
        <f t="shared" si="5"/>
        <v>550.19716119999907</v>
      </c>
      <c r="G72">
        <f t="shared" si="6"/>
        <v>5.5019716119999904</v>
      </c>
      <c r="H72">
        <f t="shared" si="4"/>
        <v>1.018057674262837E-2</v>
      </c>
    </row>
    <row r="73" spans="1:8" ht="28.8" x14ac:dyDescent="0.3">
      <c r="A73" s="1" t="s">
        <v>128</v>
      </c>
      <c r="B73" s="1" t="s">
        <v>179</v>
      </c>
      <c r="C73" s="1" t="s">
        <v>50</v>
      </c>
      <c r="D73" s="1">
        <v>1253</v>
      </c>
      <c r="E73" s="1">
        <v>77331032.924999997</v>
      </c>
      <c r="F73">
        <f t="shared" si="5"/>
        <v>7733.1032925</v>
      </c>
      <c r="G73">
        <f t="shared" si="6"/>
        <v>77.331032925000002</v>
      </c>
      <c r="H73">
        <f t="shared" si="4"/>
        <v>0.14308952695477578</v>
      </c>
    </row>
    <row r="74" spans="1:8" x14ac:dyDescent="0.3">
      <c r="A74" s="1" t="s">
        <v>129</v>
      </c>
      <c r="B74" s="1" t="s">
        <v>179</v>
      </c>
      <c r="C74" s="1" t="s">
        <v>50</v>
      </c>
      <c r="D74" s="1">
        <v>191</v>
      </c>
      <c r="E74" s="1">
        <v>5841495.3829999901</v>
      </c>
      <c r="F74">
        <f t="shared" si="5"/>
        <v>584.14953829999899</v>
      </c>
      <c r="G74">
        <f t="shared" si="6"/>
        <v>5.84149538299999</v>
      </c>
      <c r="H74">
        <f t="shared" si="4"/>
        <v>1.0808814772623514E-2</v>
      </c>
    </row>
    <row r="75" spans="1:8" ht="28.8" x14ac:dyDescent="0.3">
      <c r="A75" s="1" t="s">
        <v>126</v>
      </c>
      <c r="B75" s="1" t="s">
        <v>179</v>
      </c>
      <c r="C75" s="1" t="s">
        <v>50</v>
      </c>
      <c r="D75" s="1">
        <v>243</v>
      </c>
      <c r="E75" s="1">
        <v>12561743.973999901</v>
      </c>
      <c r="F75">
        <f t="shared" si="5"/>
        <v>1256.1743973999901</v>
      </c>
      <c r="G75">
        <f t="shared" si="6"/>
        <v>12.561743973999901</v>
      </c>
      <c r="H75">
        <f t="shared" si="4"/>
        <v>2.324363111391417E-2</v>
      </c>
    </row>
    <row r="76" spans="1:8" ht="28.8" x14ac:dyDescent="0.3">
      <c r="A76" s="1" t="s">
        <v>130</v>
      </c>
      <c r="B76" s="1" t="s">
        <v>179</v>
      </c>
      <c r="C76" s="1" t="s">
        <v>50</v>
      </c>
      <c r="D76" s="1">
        <v>38</v>
      </c>
      <c r="E76" s="1">
        <v>1172553.3740000001</v>
      </c>
      <c r="F76">
        <f t="shared" si="5"/>
        <v>117.2553374</v>
      </c>
      <c r="G76">
        <f t="shared" si="6"/>
        <v>1.172553374</v>
      </c>
      <c r="H76">
        <f t="shared" si="4"/>
        <v>2.1696348964795145E-3</v>
      </c>
    </row>
    <row r="77" spans="1:8" x14ac:dyDescent="0.3">
      <c r="A77" s="1" t="s">
        <v>105</v>
      </c>
      <c r="B77" s="1" t="s">
        <v>179</v>
      </c>
      <c r="C77" s="1" t="s">
        <v>50</v>
      </c>
      <c r="D77" s="1">
        <v>338</v>
      </c>
      <c r="E77" s="1">
        <v>49514210.125</v>
      </c>
      <c r="F77">
        <f t="shared" si="5"/>
        <v>4951.4210125</v>
      </c>
      <c r="G77">
        <f t="shared" si="6"/>
        <v>49.514210124999998</v>
      </c>
      <c r="H77">
        <f t="shared" si="4"/>
        <v>9.1618650835777901E-2</v>
      </c>
    </row>
    <row r="78" spans="1:8" x14ac:dyDescent="0.3">
      <c r="A78" s="1" t="s">
        <v>131</v>
      </c>
      <c r="B78" s="1" t="s">
        <v>179</v>
      </c>
      <c r="C78" s="1" t="s">
        <v>50</v>
      </c>
      <c r="D78" s="1">
        <v>8</v>
      </c>
      <c r="E78" s="1">
        <v>572891.26100000006</v>
      </c>
      <c r="F78">
        <f t="shared" si="5"/>
        <v>57.289126100000004</v>
      </c>
      <c r="G78">
        <f t="shared" si="6"/>
        <v>0.5728912610000001</v>
      </c>
      <c r="H78">
        <f t="shared" si="4"/>
        <v>1.0600497165545264E-3</v>
      </c>
    </row>
    <row r="79" spans="1:8" ht="28.8" x14ac:dyDescent="0.3">
      <c r="A79" s="1" t="s">
        <v>132</v>
      </c>
      <c r="B79" s="1" t="s">
        <v>179</v>
      </c>
      <c r="C79" s="1" t="s">
        <v>50</v>
      </c>
      <c r="D79" s="1">
        <v>23</v>
      </c>
      <c r="E79" s="1">
        <v>10986673.505999999</v>
      </c>
      <c r="F79">
        <f t="shared" si="5"/>
        <v>1098.6673506</v>
      </c>
      <c r="G79">
        <f t="shared" si="6"/>
        <v>10.986673505999999</v>
      </c>
      <c r="H79">
        <f t="shared" si="4"/>
        <v>2.0329198451348732E-2</v>
      </c>
    </row>
    <row r="80" spans="1:8" ht="28.8" x14ac:dyDescent="0.3">
      <c r="A80" s="1" t="s">
        <v>84</v>
      </c>
      <c r="B80" s="1" t="s">
        <v>179</v>
      </c>
      <c r="C80" s="1" t="s">
        <v>50</v>
      </c>
      <c r="D80" s="1">
        <v>178</v>
      </c>
      <c r="E80" s="1">
        <v>14383573.329999899</v>
      </c>
      <c r="F80">
        <f t="shared" si="5"/>
        <v>1438.3573329999899</v>
      </c>
      <c r="G80">
        <f t="shared" si="6"/>
        <v>14.3835733299999</v>
      </c>
      <c r="H80">
        <f t="shared" si="4"/>
        <v>2.6614654245018476E-2</v>
      </c>
    </row>
    <row r="81" spans="1:8" ht="28.8" x14ac:dyDescent="0.3">
      <c r="A81" s="1" t="s">
        <v>85</v>
      </c>
      <c r="B81" s="1" t="s">
        <v>179</v>
      </c>
      <c r="C81" s="1" t="s">
        <v>50</v>
      </c>
      <c r="D81" s="1">
        <v>78</v>
      </c>
      <c r="E81" s="1">
        <v>3628548.7489999998</v>
      </c>
      <c r="F81">
        <f t="shared" si="5"/>
        <v>362.85487489999997</v>
      </c>
      <c r="G81">
        <f t="shared" si="6"/>
        <v>3.6285487489999997</v>
      </c>
      <c r="H81">
        <f t="shared" si="4"/>
        <v>6.7140875323663399E-3</v>
      </c>
    </row>
    <row r="82" spans="1:8" ht="28.8" x14ac:dyDescent="0.3">
      <c r="A82" s="1" t="s">
        <v>133</v>
      </c>
      <c r="B82" s="1" t="s">
        <v>179</v>
      </c>
      <c r="C82" s="1" t="s">
        <v>50</v>
      </c>
      <c r="D82" s="1">
        <v>10</v>
      </c>
      <c r="E82" s="1">
        <v>296228.74099999998</v>
      </c>
      <c r="F82">
        <f t="shared" si="5"/>
        <v>29.622874099999997</v>
      </c>
      <c r="G82">
        <f t="shared" si="6"/>
        <v>0.29622874099999996</v>
      </c>
      <c r="H82">
        <f t="shared" si="4"/>
        <v>5.4812704313943823E-4</v>
      </c>
    </row>
    <row r="83" spans="1:8" ht="28.8" x14ac:dyDescent="0.3">
      <c r="A83" s="1" t="s">
        <v>134</v>
      </c>
      <c r="B83" s="1" t="s">
        <v>179</v>
      </c>
      <c r="C83" s="1" t="s">
        <v>50</v>
      </c>
      <c r="D83" s="1">
        <v>21</v>
      </c>
      <c r="E83" s="1">
        <v>6986548.7429999998</v>
      </c>
      <c r="F83">
        <f t="shared" si="5"/>
        <v>698.65487429999996</v>
      </c>
      <c r="G83">
        <f t="shared" si="6"/>
        <v>6.9865487430000002</v>
      </c>
      <c r="H83">
        <f t="shared" si="4"/>
        <v>1.2927565000352713E-2</v>
      </c>
    </row>
    <row r="84" spans="1:8" ht="28.8" x14ac:dyDescent="0.3">
      <c r="A84" s="1" t="s">
        <v>136</v>
      </c>
      <c r="B84" s="1" t="s">
        <v>179</v>
      </c>
      <c r="C84" s="1" t="s">
        <v>50</v>
      </c>
      <c r="D84" s="1">
        <v>28</v>
      </c>
      <c r="E84" s="1">
        <v>1223259.42</v>
      </c>
      <c r="F84">
        <f t="shared" si="5"/>
        <v>122.325942</v>
      </c>
      <c r="G84">
        <f t="shared" si="6"/>
        <v>1.22325942</v>
      </c>
      <c r="H84">
        <f t="shared" si="4"/>
        <v>2.26345886160001E-3</v>
      </c>
    </row>
    <row r="85" spans="1:8" ht="28.8" x14ac:dyDescent="0.3">
      <c r="A85" s="1" t="s">
        <v>144</v>
      </c>
      <c r="B85" s="1" t="s">
        <v>179</v>
      </c>
      <c r="C85" s="1" t="s">
        <v>50</v>
      </c>
      <c r="D85" s="1">
        <v>12</v>
      </c>
      <c r="E85" s="1">
        <v>753873.79</v>
      </c>
      <c r="F85">
        <f t="shared" si="5"/>
        <v>75.38737900000001</v>
      </c>
      <c r="G85">
        <f t="shared" si="6"/>
        <v>0.75387378999999999</v>
      </c>
      <c r="H85">
        <f t="shared" si="4"/>
        <v>1.3949308565336738E-3</v>
      </c>
    </row>
    <row r="86" spans="1:8" x14ac:dyDescent="0.3">
      <c r="A86" s="1" t="s">
        <v>149</v>
      </c>
      <c r="B86" s="1" t="s">
        <v>179</v>
      </c>
      <c r="C86" s="1" t="s">
        <v>50</v>
      </c>
      <c r="D86" s="1">
        <v>1</v>
      </c>
      <c r="E86" s="1">
        <v>8554.6350000000002</v>
      </c>
      <c r="F86">
        <f t="shared" si="5"/>
        <v>0.85546350000000004</v>
      </c>
      <c r="G86">
        <f t="shared" si="6"/>
        <v>8.5546349999999997E-3</v>
      </c>
      <c r="H86">
        <f t="shared" si="4"/>
        <v>1.5829074423562257E-5</v>
      </c>
    </row>
    <row r="87" spans="1:8" ht="28.8" x14ac:dyDescent="0.3">
      <c r="A87" s="1" t="s">
        <v>135</v>
      </c>
      <c r="B87" s="1" t="s">
        <v>179</v>
      </c>
      <c r="C87" s="1" t="s">
        <v>50</v>
      </c>
      <c r="D87" s="1">
        <v>1</v>
      </c>
      <c r="E87" s="1">
        <v>3425.136</v>
      </c>
      <c r="F87">
        <f t="shared" si="5"/>
        <v>0.34251359999999997</v>
      </c>
      <c r="G87">
        <f t="shared" si="6"/>
        <v>3.4251360000000001E-3</v>
      </c>
      <c r="H87">
        <f t="shared" si="4"/>
        <v>6.3377026202546732E-6</v>
      </c>
    </row>
    <row r="88" spans="1:8" ht="28.8" x14ac:dyDescent="0.3">
      <c r="A88" s="1" t="s">
        <v>65</v>
      </c>
      <c r="B88" s="1" t="s">
        <v>179</v>
      </c>
      <c r="C88" s="1" t="s">
        <v>48</v>
      </c>
      <c r="D88" s="1">
        <v>1529</v>
      </c>
      <c r="E88" s="1">
        <v>110451409.62099899</v>
      </c>
      <c r="F88">
        <f t="shared" si="5"/>
        <v>11045.1409620999</v>
      </c>
      <c r="G88">
        <f t="shared" si="6"/>
        <v>110.45140962099899</v>
      </c>
      <c r="H88">
        <f>E88/SUM($E$88:$E$119)</f>
        <v>1.7977085475474375E-2</v>
      </c>
    </row>
    <row r="89" spans="1:8" x14ac:dyDescent="0.3">
      <c r="A89" s="1" t="s">
        <v>66</v>
      </c>
      <c r="B89" s="1" t="s">
        <v>179</v>
      </c>
      <c r="C89" s="1" t="s">
        <v>48</v>
      </c>
      <c r="D89" s="1">
        <v>392</v>
      </c>
      <c r="E89" s="1">
        <v>84966866.701999903</v>
      </c>
      <c r="F89">
        <f t="shared" si="5"/>
        <v>8496.6866701999897</v>
      </c>
      <c r="G89">
        <f t="shared" si="6"/>
        <v>84.966866701999905</v>
      </c>
      <c r="H89">
        <f t="shared" ref="H89:H119" si="7">E89/SUM($E$88:$E$119)</f>
        <v>1.3829218029234551E-2</v>
      </c>
    </row>
    <row r="90" spans="1:8" ht="28.8" x14ac:dyDescent="0.3">
      <c r="A90" s="1" t="s">
        <v>67</v>
      </c>
      <c r="B90" s="1" t="s">
        <v>179</v>
      </c>
      <c r="C90" s="1" t="s">
        <v>48</v>
      </c>
      <c r="D90" s="1">
        <v>6226</v>
      </c>
      <c r="E90" s="1">
        <v>292075364.669999</v>
      </c>
      <c r="F90">
        <f t="shared" si="5"/>
        <v>29207.5364669999</v>
      </c>
      <c r="G90">
        <f t="shared" si="6"/>
        <v>292.07536466999898</v>
      </c>
      <c r="H90">
        <f t="shared" si="7"/>
        <v>4.7538223495471495E-2</v>
      </c>
    </row>
    <row r="91" spans="1:8" ht="28.8" x14ac:dyDescent="0.3">
      <c r="A91" s="1" t="s">
        <v>68</v>
      </c>
      <c r="B91" s="1" t="s">
        <v>179</v>
      </c>
      <c r="C91" s="1" t="s">
        <v>48</v>
      </c>
      <c r="D91" s="1">
        <v>961</v>
      </c>
      <c r="E91" s="1">
        <v>44511459.204000004</v>
      </c>
      <c r="F91">
        <f t="shared" si="5"/>
        <v>4451.1459204000003</v>
      </c>
      <c r="G91">
        <f t="shared" si="6"/>
        <v>44.511459204000005</v>
      </c>
      <c r="H91">
        <f t="shared" si="7"/>
        <v>7.2446907603456023E-3</v>
      </c>
    </row>
    <row r="92" spans="1:8" x14ac:dyDescent="0.3">
      <c r="A92" s="1" t="s">
        <v>69</v>
      </c>
      <c r="B92" s="1" t="s">
        <v>179</v>
      </c>
      <c r="C92" s="1" t="s">
        <v>48</v>
      </c>
      <c r="D92" s="1">
        <v>2077</v>
      </c>
      <c r="E92" s="1">
        <v>461481254.55699998</v>
      </c>
      <c r="F92">
        <f t="shared" si="5"/>
        <v>46148.125455699999</v>
      </c>
      <c r="G92">
        <f t="shared" si="6"/>
        <v>461.481254557</v>
      </c>
      <c r="H92">
        <f t="shared" si="7"/>
        <v>7.5110747675990616E-2</v>
      </c>
    </row>
    <row r="93" spans="1:8" x14ac:dyDescent="0.3">
      <c r="A93" s="1" t="s">
        <v>70</v>
      </c>
      <c r="B93" s="1" t="s">
        <v>179</v>
      </c>
      <c r="C93" s="1" t="s">
        <v>48</v>
      </c>
      <c r="D93" s="1">
        <v>7926</v>
      </c>
      <c r="E93" s="1">
        <v>3731543278.9260101</v>
      </c>
      <c r="F93">
        <f t="shared" si="5"/>
        <v>373154.32789260102</v>
      </c>
      <c r="G93">
        <f t="shared" si="6"/>
        <v>3731.5432789260103</v>
      </c>
      <c r="H93">
        <f t="shared" si="7"/>
        <v>0.60734645859993752</v>
      </c>
    </row>
    <row r="94" spans="1:8" ht="28.8" x14ac:dyDescent="0.3">
      <c r="A94" s="1" t="s">
        <v>71</v>
      </c>
      <c r="B94" s="1" t="s">
        <v>179</v>
      </c>
      <c r="C94" s="1" t="s">
        <v>48</v>
      </c>
      <c r="D94" s="1">
        <v>674</v>
      </c>
      <c r="E94" s="1">
        <v>40534648.858000003</v>
      </c>
      <c r="F94">
        <f t="shared" si="5"/>
        <v>4053.4648858000005</v>
      </c>
      <c r="G94">
        <f t="shared" si="6"/>
        <v>40.534648858000004</v>
      </c>
      <c r="H94">
        <f t="shared" si="7"/>
        <v>6.5974246027192991E-3</v>
      </c>
    </row>
    <row r="95" spans="1:8" ht="28.8" x14ac:dyDescent="0.3">
      <c r="A95" s="1" t="s">
        <v>72</v>
      </c>
      <c r="B95" s="1" t="s">
        <v>179</v>
      </c>
      <c r="C95" s="1" t="s">
        <v>48</v>
      </c>
      <c r="D95" s="1">
        <v>592</v>
      </c>
      <c r="E95" s="1">
        <v>129322193.691999</v>
      </c>
      <c r="F95">
        <f t="shared" si="5"/>
        <v>12932.2193691999</v>
      </c>
      <c r="G95">
        <f t="shared" si="6"/>
        <v>129.32219369199899</v>
      </c>
      <c r="H95">
        <f t="shared" si="7"/>
        <v>2.1048496690574802E-2</v>
      </c>
    </row>
    <row r="96" spans="1:8" x14ac:dyDescent="0.3">
      <c r="A96" s="1" t="s">
        <v>73</v>
      </c>
      <c r="B96" s="1" t="s">
        <v>179</v>
      </c>
      <c r="C96" s="1" t="s">
        <v>48</v>
      </c>
      <c r="D96" s="1">
        <v>19</v>
      </c>
      <c r="E96" s="1">
        <v>523650.36699999898</v>
      </c>
      <c r="F96">
        <f t="shared" si="5"/>
        <v>52.365036699999898</v>
      </c>
      <c r="G96">
        <f t="shared" si="6"/>
        <v>0.52365036699999901</v>
      </c>
      <c r="H96">
        <f t="shared" si="7"/>
        <v>8.5229400322952298E-5</v>
      </c>
    </row>
    <row r="97" spans="1:8" x14ac:dyDescent="0.3">
      <c r="A97" s="1" t="s">
        <v>74</v>
      </c>
      <c r="B97" s="1" t="s">
        <v>179</v>
      </c>
      <c r="C97" s="1" t="s">
        <v>48</v>
      </c>
      <c r="D97" s="1">
        <v>62</v>
      </c>
      <c r="E97" s="1">
        <v>9439058.1260000002</v>
      </c>
      <c r="F97">
        <f t="shared" si="5"/>
        <v>943.90581259999999</v>
      </c>
      <c r="G97">
        <f t="shared" si="6"/>
        <v>9.4390581260000008</v>
      </c>
      <c r="H97">
        <f t="shared" si="7"/>
        <v>1.5363023009061913E-3</v>
      </c>
    </row>
    <row r="98" spans="1:8" ht="28.8" x14ac:dyDescent="0.3">
      <c r="A98" s="1" t="s">
        <v>75</v>
      </c>
      <c r="B98" s="1" t="s">
        <v>179</v>
      </c>
      <c r="C98" s="1" t="s">
        <v>48</v>
      </c>
      <c r="D98" s="1">
        <v>365</v>
      </c>
      <c r="E98" s="1">
        <v>43971495.531999998</v>
      </c>
      <c r="F98">
        <f t="shared" si="5"/>
        <v>4397.1495531999999</v>
      </c>
      <c r="G98">
        <f t="shared" si="6"/>
        <v>43.971495531999999</v>
      </c>
      <c r="H98">
        <f t="shared" si="7"/>
        <v>7.1568062044263664E-3</v>
      </c>
    </row>
    <row r="99" spans="1:8" ht="28.8" x14ac:dyDescent="0.3">
      <c r="A99" s="1" t="s">
        <v>76</v>
      </c>
      <c r="B99" s="1" t="s">
        <v>179</v>
      </c>
      <c r="C99" s="1" t="s">
        <v>48</v>
      </c>
      <c r="D99" s="1">
        <v>3</v>
      </c>
      <c r="E99" s="1">
        <v>262411.10399999999</v>
      </c>
      <c r="F99">
        <f t="shared" si="5"/>
        <v>26.2411104</v>
      </c>
      <c r="G99">
        <f t="shared" si="6"/>
        <v>0.26241110400000001</v>
      </c>
      <c r="H99">
        <f t="shared" si="7"/>
        <v>4.2710064656564847E-5</v>
      </c>
    </row>
    <row r="100" spans="1:8" ht="28.8" x14ac:dyDescent="0.3">
      <c r="A100" s="1" t="s">
        <v>77</v>
      </c>
      <c r="B100" s="1" t="s">
        <v>179</v>
      </c>
      <c r="C100" s="1" t="s">
        <v>48</v>
      </c>
      <c r="D100" s="1">
        <v>3</v>
      </c>
      <c r="E100" s="1">
        <v>22910.8819999999</v>
      </c>
      <c r="F100">
        <f t="shared" si="5"/>
        <v>2.2910881999999901</v>
      </c>
      <c r="G100">
        <f t="shared" si="6"/>
        <v>2.29108819999999E-2</v>
      </c>
      <c r="H100">
        <f t="shared" si="7"/>
        <v>3.7289780677837608E-6</v>
      </c>
    </row>
    <row r="101" spans="1:8" x14ac:dyDescent="0.3">
      <c r="A101" s="1" t="s">
        <v>78</v>
      </c>
      <c r="B101" s="1" t="s">
        <v>179</v>
      </c>
      <c r="C101" s="1" t="s">
        <v>48</v>
      </c>
      <c r="D101" s="1">
        <v>334</v>
      </c>
      <c r="E101" s="1">
        <v>12917850.273</v>
      </c>
      <c r="F101">
        <f t="shared" si="5"/>
        <v>1291.7850272999999</v>
      </c>
      <c r="G101">
        <f t="shared" si="6"/>
        <v>12.917850273000001</v>
      </c>
      <c r="H101">
        <f t="shared" si="7"/>
        <v>2.1025109531327374E-3</v>
      </c>
    </row>
    <row r="102" spans="1:8" ht="28.8" x14ac:dyDescent="0.3">
      <c r="A102" s="1" t="s">
        <v>79</v>
      </c>
      <c r="B102" s="1" t="s">
        <v>179</v>
      </c>
      <c r="C102" s="1" t="s">
        <v>48</v>
      </c>
      <c r="D102" s="1">
        <v>3188</v>
      </c>
      <c r="E102" s="1">
        <v>826783234.64600301</v>
      </c>
      <c r="F102">
        <f t="shared" si="5"/>
        <v>82678.323464600297</v>
      </c>
      <c r="G102">
        <f t="shared" si="6"/>
        <v>826.78323464600305</v>
      </c>
      <c r="H102">
        <f t="shared" si="7"/>
        <v>0.13456734440892645</v>
      </c>
    </row>
    <row r="103" spans="1:8" ht="28.8" x14ac:dyDescent="0.3">
      <c r="A103" s="1" t="s">
        <v>80</v>
      </c>
      <c r="B103" s="1" t="s">
        <v>179</v>
      </c>
      <c r="C103" s="1" t="s">
        <v>48</v>
      </c>
      <c r="D103" s="1">
        <v>108</v>
      </c>
      <c r="E103" s="1">
        <v>3672801.4369999999</v>
      </c>
      <c r="F103">
        <f t="shared" si="5"/>
        <v>367.2801437</v>
      </c>
      <c r="G103">
        <f t="shared" si="6"/>
        <v>3.6728014369999999</v>
      </c>
      <c r="H103">
        <f t="shared" si="7"/>
        <v>5.9778562893815002E-4</v>
      </c>
    </row>
    <row r="104" spans="1:8" ht="28.8" x14ac:dyDescent="0.3">
      <c r="A104" s="1" t="s">
        <v>81</v>
      </c>
      <c r="B104" s="1" t="s">
        <v>179</v>
      </c>
      <c r="C104" s="1" t="s">
        <v>48</v>
      </c>
      <c r="D104" s="1">
        <v>922</v>
      </c>
      <c r="E104" s="1">
        <v>133562877.373999</v>
      </c>
      <c r="F104">
        <f t="shared" si="5"/>
        <v>13356.2877373999</v>
      </c>
      <c r="G104">
        <f t="shared" si="6"/>
        <v>133.56287737399899</v>
      </c>
      <c r="H104">
        <f t="shared" si="7"/>
        <v>2.1738710905923934E-2</v>
      </c>
    </row>
    <row r="105" spans="1:8" ht="28.8" x14ac:dyDescent="0.3">
      <c r="A105" s="1" t="s">
        <v>82</v>
      </c>
      <c r="B105" s="1" t="s">
        <v>179</v>
      </c>
      <c r="C105" s="1" t="s">
        <v>48</v>
      </c>
      <c r="D105" s="1">
        <v>4</v>
      </c>
      <c r="E105" s="1">
        <v>142465.30900000001</v>
      </c>
      <c r="F105">
        <f t="shared" si="5"/>
        <v>14.246530900000002</v>
      </c>
      <c r="G105">
        <f t="shared" si="6"/>
        <v>0.14246530900000001</v>
      </c>
      <c r="H105">
        <f t="shared" si="7"/>
        <v>2.3187671809450149E-5</v>
      </c>
    </row>
    <row r="106" spans="1:8" ht="28.8" x14ac:dyDescent="0.3">
      <c r="A106" s="1" t="s">
        <v>83</v>
      </c>
      <c r="B106" s="1" t="s">
        <v>179</v>
      </c>
      <c r="C106" s="1" t="s">
        <v>48</v>
      </c>
      <c r="D106" s="1">
        <v>2</v>
      </c>
      <c r="E106" s="1">
        <v>164444.315</v>
      </c>
      <c r="F106">
        <f t="shared" si="5"/>
        <v>16.4444315</v>
      </c>
      <c r="G106">
        <f t="shared" si="6"/>
        <v>0.16444431500000001</v>
      </c>
      <c r="H106">
        <f t="shared" si="7"/>
        <v>2.6764977620971854E-5</v>
      </c>
    </row>
    <row r="107" spans="1:8" ht="28.8" x14ac:dyDescent="0.3">
      <c r="A107" s="1" t="s">
        <v>84</v>
      </c>
      <c r="B107" s="1" t="s">
        <v>179</v>
      </c>
      <c r="C107" s="1" t="s">
        <v>48</v>
      </c>
      <c r="D107" s="1">
        <v>1</v>
      </c>
      <c r="E107" s="1">
        <v>105932.455</v>
      </c>
      <c r="F107">
        <f t="shared" si="5"/>
        <v>10.5932455</v>
      </c>
      <c r="G107">
        <f t="shared" si="6"/>
        <v>0.10593245499999999</v>
      </c>
      <c r="H107">
        <f t="shared" si="7"/>
        <v>1.7241579846707426E-5</v>
      </c>
    </row>
    <row r="108" spans="1:8" ht="28.8" x14ac:dyDescent="0.3">
      <c r="A108" s="1" t="s">
        <v>85</v>
      </c>
      <c r="B108" s="1" t="s">
        <v>179</v>
      </c>
      <c r="C108" s="1" t="s">
        <v>48</v>
      </c>
      <c r="D108" s="1">
        <v>3</v>
      </c>
      <c r="E108" s="1">
        <v>2706447.858</v>
      </c>
      <c r="F108">
        <f t="shared" si="5"/>
        <v>270.64478580000002</v>
      </c>
      <c r="G108">
        <f t="shared" si="6"/>
        <v>2.7064478580000002</v>
      </c>
      <c r="H108">
        <f t="shared" si="7"/>
        <v>4.4050179753369527E-4</v>
      </c>
    </row>
    <row r="109" spans="1:8" x14ac:dyDescent="0.3">
      <c r="A109" s="1" t="s">
        <v>86</v>
      </c>
      <c r="B109" s="1" t="s">
        <v>179</v>
      </c>
      <c r="C109" s="1" t="s">
        <v>48</v>
      </c>
      <c r="D109" s="1">
        <v>4</v>
      </c>
      <c r="E109" s="1">
        <v>1883026.554</v>
      </c>
      <c r="F109">
        <f t="shared" si="5"/>
        <v>188.30265539999999</v>
      </c>
      <c r="G109">
        <f t="shared" si="6"/>
        <v>1.883026554</v>
      </c>
      <c r="H109">
        <f t="shared" si="7"/>
        <v>3.064816413842324E-4</v>
      </c>
    </row>
    <row r="110" spans="1:8" ht="28.8" x14ac:dyDescent="0.3">
      <c r="A110" s="1" t="s">
        <v>87</v>
      </c>
      <c r="B110" s="1" t="s">
        <v>179</v>
      </c>
      <c r="C110" s="1" t="s">
        <v>48</v>
      </c>
      <c r="D110" s="1">
        <v>38</v>
      </c>
      <c r="E110" s="1">
        <v>2345222.8839999898</v>
      </c>
      <c r="F110">
        <f t="shared" si="5"/>
        <v>234.52228839999898</v>
      </c>
      <c r="G110">
        <f t="shared" si="6"/>
        <v>2.3452228839999898</v>
      </c>
      <c r="H110">
        <f t="shared" si="7"/>
        <v>3.8170877483025662E-4</v>
      </c>
    </row>
    <row r="111" spans="1:8" ht="43.2" x14ac:dyDescent="0.3">
      <c r="A111" s="1" t="s">
        <v>88</v>
      </c>
      <c r="B111" s="1" t="s">
        <v>179</v>
      </c>
      <c r="C111" s="1" t="s">
        <v>48</v>
      </c>
      <c r="D111" s="1">
        <v>1</v>
      </c>
      <c r="E111" s="1">
        <v>2350.2820000000002</v>
      </c>
      <c r="F111">
        <f t="shared" si="5"/>
        <v>0.23502820000000002</v>
      </c>
      <c r="G111">
        <f t="shared" si="6"/>
        <v>2.350282E-3</v>
      </c>
      <c r="H111">
        <f t="shared" si="7"/>
        <v>3.8253219719376112E-7</v>
      </c>
    </row>
    <row r="112" spans="1:8" ht="28.8" x14ac:dyDescent="0.3">
      <c r="A112" s="1" t="s">
        <v>89</v>
      </c>
      <c r="B112" s="1" t="s">
        <v>179</v>
      </c>
      <c r="C112" s="1" t="s">
        <v>48</v>
      </c>
      <c r="D112" s="1">
        <v>2</v>
      </c>
      <c r="E112" s="1">
        <v>113264.360999999</v>
      </c>
      <c r="F112">
        <f t="shared" si="5"/>
        <v>11.326436099999899</v>
      </c>
      <c r="G112">
        <f t="shared" si="6"/>
        <v>0.11326436099999899</v>
      </c>
      <c r="H112">
        <f t="shared" si="7"/>
        <v>1.8434921799629561E-5</v>
      </c>
    </row>
    <row r="113" spans="1:8" ht="28.8" x14ac:dyDescent="0.3">
      <c r="A113" s="1" t="s">
        <v>90</v>
      </c>
      <c r="B113" s="1" t="s">
        <v>179</v>
      </c>
      <c r="C113" s="1" t="s">
        <v>48</v>
      </c>
      <c r="D113" s="1">
        <v>564</v>
      </c>
      <c r="E113" s="1">
        <v>197317473.72799999</v>
      </c>
      <c r="F113">
        <f t="shared" si="5"/>
        <v>19731.747372799997</v>
      </c>
      <c r="G113">
        <f t="shared" si="6"/>
        <v>197.31747372799998</v>
      </c>
      <c r="H113">
        <f t="shared" si="7"/>
        <v>3.2115417115858462E-2</v>
      </c>
    </row>
    <row r="114" spans="1:8" ht="28.8" x14ac:dyDescent="0.3">
      <c r="A114" s="1" t="s">
        <v>91</v>
      </c>
      <c r="B114" s="1" t="s">
        <v>179</v>
      </c>
      <c r="C114" s="1" t="s">
        <v>48</v>
      </c>
      <c r="D114" s="1">
        <v>2</v>
      </c>
      <c r="E114" s="1">
        <v>13296.835999999999</v>
      </c>
      <c r="F114">
        <f t="shared" si="5"/>
        <v>1.3296835999999999</v>
      </c>
      <c r="G114">
        <f t="shared" si="6"/>
        <v>1.3296835999999999E-2</v>
      </c>
      <c r="H114">
        <f t="shared" si="7"/>
        <v>2.1641947182530016E-6</v>
      </c>
    </row>
    <row r="115" spans="1:8" ht="43.2" x14ac:dyDescent="0.3">
      <c r="A115" s="1" t="s">
        <v>92</v>
      </c>
      <c r="B115" s="1" t="s">
        <v>179</v>
      </c>
      <c r="C115" s="1" t="s">
        <v>48</v>
      </c>
      <c r="D115" s="1">
        <v>48</v>
      </c>
      <c r="E115" s="1">
        <v>9306594.0460000001</v>
      </c>
      <c r="F115">
        <f t="shared" si="5"/>
        <v>930.65940460000002</v>
      </c>
      <c r="G115">
        <f t="shared" si="6"/>
        <v>9.3065940460000007</v>
      </c>
      <c r="H115">
        <f t="shared" si="7"/>
        <v>1.5147424304005881E-3</v>
      </c>
    </row>
    <row r="116" spans="1:8" ht="28.8" x14ac:dyDescent="0.3">
      <c r="A116" s="1" t="s">
        <v>93</v>
      </c>
      <c r="B116" s="1" t="s">
        <v>179</v>
      </c>
      <c r="C116" s="1" t="s">
        <v>48</v>
      </c>
      <c r="D116" s="1">
        <v>3</v>
      </c>
      <c r="E116" s="1">
        <v>415278.245</v>
      </c>
      <c r="F116">
        <f t="shared" si="5"/>
        <v>41.527824500000001</v>
      </c>
      <c r="G116">
        <f t="shared" si="6"/>
        <v>0.41527824499999999</v>
      </c>
      <c r="H116">
        <f t="shared" si="7"/>
        <v>6.759073996508463E-5</v>
      </c>
    </row>
    <row r="117" spans="1:8" x14ac:dyDescent="0.3">
      <c r="A117" s="1" t="s">
        <v>172</v>
      </c>
      <c r="B117" s="1" t="s">
        <v>179</v>
      </c>
      <c r="C117" s="1" t="s">
        <v>48</v>
      </c>
      <c r="D117" s="1">
        <v>1</v>
      </c>
      <c r="E117" s="1">
        <v>1438.1320000000001</v>
      </c>
      <c r="F117">
        <f t="shared" si="5"/>
        <v>0.1438132</v>
      </c>
      <c r="G117">
        <f t="shared" si="6"/>
        <v>1.4381320000000002E-3</v>
      </c>
      <c r="H117">
        <f t="shared" si="7"/>
        <v>2.3407054720014793E-7</v>
      </c>
    </row>
    <row r="118" spans="1:8" ht="28.8" x14ac:dyDescent="0.3">
      <c r="A118" s="1" t="s">
        <v>113</v>
      </c>
      <c r="B118" s="1" t="s">
        <v>179</v>
      </c>
      <c r="C118" s="1" t="s">
        <v>48</v>
      </c>
      <c r="D118" s="1">
        <v>1</v>
      </c>
      <c r="E118" s="1">
        <v>357121.34399999998</v>
      </c>
      <c r="F118">
        <f t="shared" si="5"/>
        <v>35.712134399999997</v>
      </c>
      <c r="G118">
        <f t="shared" si="6"/>
        <v>0.35712134400000001</v>
      </c>
      <c r="H118">
        <f t="shared" si="7"/>
        <v>5.8125115362798588E-5</v>
      </c>
    </row>
    <row r="119" spans="1:8" ht="28.8" x14ac:dyDescent="0.3">
      <c r="A119" s="1" t="s">
        <v>114</v>
      </c>
      <c r="B119" s="1" t="s">
        <v>179</v>
      </c>
      <c r="C119" s="1" t="s">
        <v>48</v>
      </c>
      <c r="D119" s="1">
        <v>2</v>
      </c>
      <c r="E119" s="1">
        <v>3093806.0189999999</v>
      </c>
      <c r="F119">
        <f t="shared" si="5"/>
        <v>309.38060189999999</v>
      </c>
      <c r="G119">
        <f t="shared" si="6"/>
        <v>3.0938060190000001</v>
      </c>
      <c r="H119">
        <f t="shared" si="7"/>
        <v>5.0354826107648057E-4</v>
      </c>
    </row>
    <row r="120" spans="1:8" x14ac:dyDescent="0.3">
      <c r="A120" s="1" t="s">
        <v>164</v>
      </c>
      <c r="B120" s="2" t="s">
        <v>180</v>
      </c>
      <c r="C120" s="1" t="s">
        <v>43</v>
      </c>
      <c r="D120" s="1">
        <v>444</v>
      </c>
      <c r="E120" s="1">
        <v>68253608.988999993</v>
      </c>
      <c r="F120">
        <f t="shared" si="5"/>
        <v>6825.3608988999995</v>
      </c>
      <c r="G120">
        <f t="shared" si="6"/>
        <v>68.253608988999986</v>
      </c>
      <c r="H120">
        <f>E120/SUM($E$120:$E$132)</f>
        <v>0.1035941726031383</v>
      </c>
    </row>
    <row r="121" spans="1:8" x14ac:dyDescent="0.3">
      <c r="A121" s="1" t="s">
        <v>165</v>
      </c>
      <c r="B121" s="2" t="s">
        <v>180</v>
      </c>
      <c r="C121" s="1" t="s">
        <v>43</v>
      </c>
      <c r="D121" s="1">
        <v>443</v>
      </c>
      <c r="E121" s="1">
        <v>175205445.84699899</v>
      </c>
      <c r="F121">
        <f t="shared" si="5"/>
        <v>17520.544584699899</v>
      </c>
      <c r="G121">
        <f t="shared" si="6"/>
        <v>175.205445846999</v>
      </c>
      <c r="H121">
        <f t="shared" ref="H121:H132" si="8">E121/SUM($E$120:$E$132)</f>
        <v>0.2659238605391398</v>
      </c>
    </row>
    <row r="122" spans="1:8" x14ac:dyDescent="0.3">
      <c r="A122" s="1" t="s">
        <v>166</v>
      </c>
      <c r="B122" s="2" t="s">
        <v>180</v>
      </c>
      <c r="C122" s="1" t="s">
        <v>43</v>
      </c>
      <c r="D122" s="1">
        <v>2220</v>
      </c>
      <c r="E122" s="1">
        <v>287372671.72999901</v>
      </c>
      <c r="F122">
        <f t="shared" si="5"/>
        <v>28737.267172999902</v>
      </c>
      <c r="G122">
        <f t="shared" si="6"/>
        <v>287.37267172999901</v>
      </c>
      <c r="H122">
        <f t="shared" si="8"/>
        <v>0.43616937767232772</v>
      </c>
    </row>
    <row r="123" spans="1:8" x14ac:dyDescent="0.3">
      <c r="A123" s="1" t="s">
        <v>167</v>
      </c>
      <c r="B123" s="2" t="s">
        <v>180</v>
      </c>
      <c r="C123" s="1" t="s">
        <v>43</v>
      </c>
      <c r="D123" s="1">
        <v>79</v>
      </c>
      <c r="E123" s="1">
        <v>18402266.006999999</v>
      </c>
      <c r="F123">
        <f t="shared" si="5"/>
        <v>1840.2266006999998</v>
      </c>
      <c r="G123">
        <f t="shared" si="6"/>
        <v>18.402266006999998</v>
      </c>
      <c r="H123">
        <f t="shared" si="8"/>
        <v>2.7930647906475686E-2</v>
      </c>
    </row>
    <row r="124" spans="1:8" x14ac:dyDescent="0.3">
      <c r="A124" s="1" t="s">
        <v>168</v>
      </c>
      <c r="B124" s="2" t="s">
        <v>180</v>
      </c>
      <c r="C124" s="1" t="s">
        <v>43</v>
      </c>
      <c r="D124" s="1">
        <v>25</v>
      </c>
      <c r="E124" s="1">
        <v>6570155.4800000004</v>
      </c>
      <c r="F124">
        <f t="shared" si="5"/>
        <v>657.01554800000008</v>
      </c>
      <c r="G124">
        <f t="shared" si="6"/>
        <v>6.5701554800000004</v>
      </c>
      <c r="H124">
        <f t="shared" si="8"/>
        <v>9.9720707945900391E-3</v>
      </c>
    </row>
    <row r="125" spans="1:8" x14ac:dyDescent="0.3">
      <c r="A125" s="1" t="s">
        <v>169</v>
      </c>
      <c r="B125" s="2" t="s">
        <v>180</v>
      </c>
      <c r="C125" s="1" t="s">
        <v>43</v>
      </c>
      <c r="D125" s="1">
        <v>1</v>
      </c>
      <c r="E125" s="1">
        <v>32391.271000000001</v>
      </c>
      <c r="F125">
        <f t="shared" si="5"/>
        <v>3.2391271000000001</v>
      </c>
      <c r="G125">
        <f t="shared" si="6"/>
        <v>3.2391270999999999E-2</v>
      </c>
      <c r="H125">
        <f t="shared" si="8"/>
        <v>4.9162922935691517E-5</v>
      </c>
    </row>
    <row r="126" spans="1:8" x14ac:dyDescent="0.3">
      <c r="A126" s="1" t="s">
        <v>170</v>
      </c>
      <c r="B126" s="2" t="s">
        <v>180</v>
      </c>
      <c r="C126" s="1" t="s">
        <v>43</v>
      </c>
      <c r="D126" s="1">
        <v>4</v>
      </c>
      <c r="E126" s="1">
        <v>453240.75199999998</v>
      </c>
      <c r="F126">
        <f t="shared" si="5"/>
        <v>45.324075199999996</v>
      </c>
      <c r="G126">
        <f t="shared" si="6"/>
        <v>0.45324075199999997</v>
      </c>
      <c r="H126">
        <f t="shared" si="8"/>
        <v>6.8792114276376704E-4</v>
      </c>
    </row>
    <row r="127" spans="1:8" x14ac:dyDescent="0.3">
      <c r="A127" s="1" t="s">
        <v>171</v>
      </c>
      <c r="B127" s="2" t="s">
        <v>180</v>
      </c>
      <c r="C127" s="1" t="s">
        <v>43</v>
      </c>
      <c r="D127" s="1">
        <v>4</v>
      </c>
      <c r="E127" s="1">
        <v>18299.539999999899</v>
      </c>
      <c r="F127">
        <f t="shared" si="5"/>
        <v>1.8299539999999899</v>
      </c>
      <c r="G127">
        <f t="shared" si="6"/>
        <v>1.8299539999999899E-2</v>
      </c>
      <c r="H127">
        <f t="shared" si="8"/>
        <v>2.7774732111580288E-5</v>
      </c>
    </row>
    <row r="128" spans="1:8" x14ac:dyDescent="0.3">
      <c r="A128" s="1" t="s">
        <v>172</v>
      </c>
      <c r="B128" s="2" t="s">
        <v>180</v>
      </c>
      <c r="C128" s="1" t="s">
        <v>43</v>
      </c>
      <c r="D128" s="1">
        <v>2</v>
      </c>
      <c r="E128" s="1">
        <v>3652426.6860000002</v>
      </c>
      <c r="F128">
        <f t="shared" si="5"/>
        <v>365.2426686</v>
      </c>
      <c r="G128">
        <f t="shared" si="6"/>
        <v>3.6524266860000001</v>
      </c>
      <c r="H128">
        <f t="shared" si="8"/>
        <v>5.5435914105402394E-3</v>
      </c>
    </row>
    <row r="129" spans="1:8" ht="43.2" x14ac:dyDescent="0.3">
      <c r="A129" s="1" t="s">
        <v>121</v>
      </c>
      <c r="B129" s="1" t="s">
        <v>179</v>
      </c>
      <c r="C129" s="1" t="s">
        <v>43</v>
      </c>
      <c r="D129" s="1">
        <v>7</v>
      </c>
      <c r="E129" s="1">
        <v>27720450.934999999</v>
      </c>
      <c r="F129">
        <f t="shared" si="5"/>
        <v>2772.0450934999999</v>
      </c>
      <c r="G129">
        <f t="shared" si="6"/>
        <v>27.720450934999999</v>
      </c>
      <c r="H129">
        <f t="shared" si="8"/>
        <v>4.2073631289739226E-2</v>
      </c>
    </row>
    <row r="130" spans="1:8" ht="28.8" x14ac:dyDescent="0.3">
      <c r="A130" s="1" t="s">
        <v>122</v>
      </c>
      <c r="B130" s="1" t="s">
        <v>179</v>
      </c>
      <c r="C130" s="1" t="s">
        <v>43</v>
      </c>
      <c r="D130" s="1">
        <v>3</v>
      </c>
      <c r="E130" s="1">
        <v>70774415.456</v>
      </c>
      <c r="F130">
        <f t="shared" si="5"/>
        <v>7077.4415455999997</v>
      </c>
      <c r="G130">
        <f t="shared" si="6"/>
        <v>70.774415456</v>
      </c>
      <c r="H130">
        <f t="shared" si="8"/>
        <v>0.10742020999675939</v>
      </c>
    </row>
    <row r="131" spans="1:8" ht="28.8" x14ac:dyDescent="0.3">
      <c r="A131" s="1" t="s">
        <v>125</v>
      </c>
      <c r="B131" s="1" t="s">
        <v>179</v>
      </c>
      <c r="C131" s="1" t="s">
        <v>43</v>
      </c>
      <c r="D131" s="1">
        <v>1</v>
      </c>
      <c r="E131" s="1">
        <v>47093.65</v>
      </c>
      <c r="F131">
        <f t="shared" ref="F131:F194" si="9">E131/10000</f>
        <v>4.709365</v>
      </c>
      <c r="G131">
        <f t="shared" ref="G131:G194" si="10">E131/1000000</f>
        <v>4.7093650000000001E-2</v>
      </c>
      <c r="H131">
        <f t="shared" si="8"/>
        <v>7.1477944959629053E-5</v>
      </c>
    </row>
    <row r="132" spans="1:8" ht="28.8" x14ac:dyDescent="0.3">
      <c r="A132" s="1" t="s">
        <v>135</v>
      </c>
      <c r="B132" s="1" t="s">
        <v>179</v>
      </c>
      <c r="C132" s="1" t="s">
        <v>43</v>
      </c>
      <c r="D132" s="1">
        <v>2</v>
      </c>
      <c r="E132" s="1">
        <v>353213.21799999999</v>
      </c>
      <c r="F132">
        <f t="shared" si="9"/>
        <v>35.3213218</v>
      </c>
      <c r="G132">
        <f t="shared" si="10"/>
        <v>0.353213218</v>
      </c>
      <c r="H132">
        <f t="shared" si="8"/>
        <v>5.3610104451911158E-4</v>
      </c>
    </row>
    <row r="133" spans="1:8" x14ac:dyDescent="0.3">
      <c r="A133" s="1" t="s">
        <v>95</v>
      </c>
      <c r="B133" s="1" t="s">
        <v>179</v>
      </c>
      <c r="C133" s="1" t="s">
        <v>38</v>
      </c>
      <c r="D133" s="1">
        <v>13</v>
      </c>
      <c r="E133" s="1">
        <v>549753.32900000003</v>
      </c>
      <c r="F133">
        <f t="shared" si="9"/>
        <v>54.975332900000005</v>
      </c>
      <c r="G133">
        <f t="shared" si="10"/>
        <v>0.54975332900000007</v>
      </c>
      <c r="H133">
        <f>E133/SUM($E$133:$E$175)</f>
        <v>1.7623726212716455E-4</v>
      </c>
    </row>
    <row r="134" spans="1:8" ht="43.2" x14ac:dyDescent="0.3">
      <c r="A134" s="1" t="s">
        <v>121</v>
      </c>
      <c r="B134" s="1" t="s">
        <v>179</v>
      </c>
      <c r="C134" s="1" t="s">
        <v>38</v>
      </c>
      <c r="D134" s="1">
        <v>6979</v>
      </c>
      <c r="E134" s="1">
        <v>318867086.51899898</v>
      </c>
      <c r="F134">
        <f t="shared" si="9"/>
        <v>31886.708651899899</v>
      </c>
      <c r="G134">
        <f t="shared" si="10"/>
        <v>318.86708651899897</v>
      </c>
      <c r="H134">
        <f t="shared" ref="H134:H175" si="11">E134/SUM($E$133:$E$175)</f>
        <v>0.1022208676986003</v>
      </c>
    </row>
    <row r="135" spans="1:8" ht="28.8" x14ac:dyDescent="0.3">
      <c r="A135" s="1" t="s">
        <v>123</v>
      </c>
      <c r="B135" s="1" t="s">
        <v>179</v>
      </c>
      <c r="C135" s="1" t="s">
        <v>38</v>
      </c>
      <c r="D135" s="1">
        <v>2561</v>
      </c>
      <c r="E135" s="1">
        <v>43159161.018999897</v>
      </c>
      <c r="F135">
        <f t="shared" si="9"/>
        <v>4315.9161018999894</v>
      </c>
      <c r="G135">
        <f t="shared" si="10"/>
        <v>43.159161018999896</v>
      </c>
      <c r="H135">
        <f t="shared" si="11"/>
        <v>1.3835755005849154E-2</v>
      </c>
    </row>
    <row r="136" spans="1:8" x14ac:dyDescent="0.3">
      <c r="A136" s="1" t="s">
        <v>105</v>
      </c>
      <c r="B136" s="1" t="s">
        <v>179</v>
      </c>
      <c r="C136" s="1" t="s">
        <v>38</v>
      </c>
      <c r="D136" s="1">
        <v>9304</v>
      </c>
      <c r="E136" s="1">
        <v>365141850.063999</v>
      </c>
      <c r="F136">
        <f t="shared" si="9"/>
        <v>36514.185006399901</v>
      </c>
      <c r="G136">
        <f t="shared" si="10"/>
        <v>365.14185006399902</v>
      </c>
      <c r="H136">
        <f t="shared" si="11"/>
        <v>0.1170554074868127</v>
      </c>
    </row>
    <row r="137" spans="1:8" ht="28.8" x14ac:dyDescent="0.3">
      <c r="A137" s="1" t="s">
        <v>132</v>
      </c>
      <c r="B137" s="1" t="s">
        <v>179</v>
      </c>
      <c r="C137" s="1" t="s">
        <v>38</v>
      </c>
      <c r="D137" s="1">
        <v>727</v>
      </c>
      <c r="E137" s="1">
        <v>33166248.296999998</v>
      </c>
      <c r="F137">
        <f t="shared" si="9"/>
        <v>3316.6248296999997</v>
      </c>
      <c r="G137">
        <f t="shared" si="10"/>
        <v>33.166248296999996</v>
      </c>
      <c r="H137">
        <f t="shared" si="11"/>
        <v>1.0632275397995841E-2</v>
      </c>
    </row>
    <row r="138" spans="1:8" ht="28.8" x14ac:dyDescent="0.3">
      <c r="A138" s="1" t="s">
        <v>120</v>
      </c>
      <c r="B138" s="1" t="s">
        <v>179</v>
      </c>
      <c r="C138" s="1" t="s">
        <v>38</v>
      </c>
      <c r="D138" s="1">
        <v>88</v>
      </c>
      <c r="E138" s="1">
        <v>877935.37</v>
      </c>
      <c r="F138">
        <f t="shared" si="9"/>
        <v>87.793537000000001</v>
      </c>
      <c r="G138">
        <f t="shared" si="10"/>
        <v>0.87793536999999999</v>
      </c>
      <c r="H138">
        <f t="shared" si="11"/>
        <v>2.8144427286114568E-4</v>
      </c>
    </row>
    <row r="139" spans="1:8" ht="28.8" x14ac:dyDescent="0.3">
      <c r="A139" s="1" t="s">
        <v>122</v>
      </c>
      <c r="B139" s="1" t="s">
        <v>179</v>
      </c>
      <c r="C139" s="1" t="s">
        <v>38</v>
      </c>
      <c r="D139" s="1">
        <v>2866</v>
      </c>
      <c r="E139" s="1">
        <v>305167103.037</v>
      </c>
      <c r="F139">
        <f t="shared" si="9"/>
        <v>30516.710303700002</v>
      </c>
      <c r="G139">
        <f t="shared" si="10"/>
        <v>305.167103037</v>
      </c>
      <c r="H139">
        <f t="shared" si="11"/>
        <v>9.7828993283857316E-2</v>
      </c>
    </row>
    <row r="140" spans="1:8" ht="43.2" x14ac:dyDescent="0.3">
      <c r="A140" s="1" t="s">
        <v>124</v>
      </c>
      <c r="B140" s="1" t="s">
        <v>179</v>
      </c>
      <c r="C140" s="1" t="s">
        <v>38</v>
      </c>
      <c r="D140" s="1">
        <v>2990</v>
      </c>
      <c r="E140" s="1">
        <v>122047396.087999</v>
      </c>
      <c r="F140">
        <f t="shared" si="9"/>
        <v>12204.7396087999</v>
      </c>
      <c r="G140">
        <f t="shared" si="10"/>
        <v>122.047396087999</v>
      </c>
      <c r="H140">
        <f t="shared" si="11"/>
        <v>3.912536368888192E-2</v>
      </c>
    </row>
    <row r="141" spans="1:8" ht="28.8" x14ac:dyDescent="0.3">
      <c r="A141" s="1" t="s">
        <v>125</v>
      </c>
      <c r="B141" s="1" t="s">
        <v>179</v>
      </c>
      <c r="C141" s="1" t="s">
        <v>38</v>
      </c>
      <c r="D141" s="1">
        <v>5583</v>
      </c>
      <c r="E141" s="1">
        <v>346574551.85699898</v>
      </c>
      <c r="F141">
        <f t="shared" si="9"/>
        <v>34657.455185699895</v>
      </c>
      <c r="G141">
        <f t="shared" si="10"/>
        <v>346.57455185699899</v>
      </c>
      <c r="H141">
        <f t="shared" si="11"/>
        <v>0.11110319286893579</v>
      </c>
    </row>
    <row r="142" spans="1:8" ht="28.8" x14ac:dyDescent="0.3">
      <c r="A142" s="1" t="s">
        <v>127</v>
      </c>
      <c r="B142" s="1" t="s">
        <v>179</v>
      </c>
      <c r="C142" s="1" t="s">
        <v>38</v>
      </c>
      <c r="D142" s="1">
        <v>4</v>
      </c>
      <c r="E142" s="1">
        <v>109609.42600000001</v>
      </c>
      <c r="F142">
        <f t="shared" si="9"/>
        <v>10.960942600000001</v>
      </c>
      <c r="G142">
        <f t="shared" si="10"/>
        <v>0.10960942600000001</v>
      </c>
      <c r="H142">
        <f t="shared" si="11"/>
        <v>3.51380594215011E-5</v>
      </c>
    </row>
    <row r="143" spans="1:8" ht="28.8" x14ac:dyDescent="0.3">
      <c r="A143" s="1" t="s">
        <v>101</v>
      </c>
      <c r="B143" s="1" t="s">
        <v>179</v>
      </c>
      <c r="C143" s="1" t="s">
        <v>38</v>
      </c>
      <c r="D143" s="1">
        <v>844</v>
      </c>
      <c r="E143" s="1">
        <v>19497416.0459999</v>
      </c>
      <c r="F143">
        <f t="shared" si="9"/>
        <v>1949.7416045999898</v>
      </c>
      <c r="G143">
        <f t="shared" si="10"/>
        <v>19.497416045999898</v>
      </c>
      <c r="H143">
        <f t="shared" si="11"/>
        <v>6.2503872941554635E-3</v>
      </c>
    </row>
    <row r="144" spans="1:8" ht="28.8" x14ac:dyDescent="0.3">
      <c r="A144" s="1" t="s">
        <v>128</v>
      </c>
      <c r="B144" s="1" t="s">
        <v>179</v>
      </c>
      <c r="C144" s="1" t="s">
        <v>38</v>
      </c>
      <c r="D144" s="1">
        <v>994</v>
      </c>
      <c r="E144" s="1">
        <v>15449749.769999901</v>
      </c>
      <c r="F144">
        <f t="shared" si="9"/>
        <v>1544.9749769999901</v>
      </c>
      <c r="G144">
        <f t="shared" si="10"/>
        <v>15.449749769999901</v>
      </c>
      <c r="H144">
        <f t="shared" si="11"/>
        <v>4.9528060247809296E-3</v>
      </c>
    </row>
    <row r="145" spans="1:8" ht="28.8" x14ac:dyDescent="0.3">
      <c r="A145" s="1" t="s">
        <v>126</v>
      </c>
      <c r="B145" s="1" t="s">
        <v>179</v>
      </c>
      <c r="C145" s="1" t="s">
        <v>38</v>
      </c>
      <c r="D145" s="1">
        <v>1142</v>
      </c>
      <c r="E145" s="1">
        <v>30391245.932999998</v>
      </c>
      <c r="F145">
        <f t="shared" si="9"/>
        <v>3039.1245933</v>
      </c>
      <c r="G145">
        <f t="shared" si="10"/>
        <v>30.391245932999997</v>
      </c>
      <c r="H145">
        <f t="shared" si="11"/>
        <v>9.7426785675094E-3</v>
      </c>
    </row>
    <row r="146" spans="1:8" ht="28.8" x14ac:dyDescent="0.3">
      <c r="A146" s="1" t="s">
        <v>144</v>
      </c>
      <c r="B146" s="1" t="s">
        <v>179</v>
      </c>
      <c r="C146" s="1" t="s">
        <v>38</v>
      </c>
      <c r="D146" s="1">
        <v>1981</v>
      </c>
      <c r="E146" s="1">
        <v>67344269.615999907</v>
      </c>
      <c r="F146">
        <f t="shared" si="9"/>
        <v>6734.426961599991</v>
      </c>
      <c r="G146">
        <f t="shared" si="10"/>
        <v>67.344269615999906</v>
      </c>
      <c r="H146">
        <f t="shared" si="11"/>
        <v>2.1588900095732604E-2</v>
      </c>
    </row>
    <row r="147" spans="1:8" x14ac:dyDescent="0.3">
      <c r="A147" s="1" t="s">
        <v>129</v>
      </c>
      <c r="B147" s="1" t="s">
        <v>179</v>
      </c>
      <c r="C147" s="1" t="s">
        <v>38</v>
      </c>
      <c r="D147" s="1">
        <v>9309</v>
      </c>
      <c r="E147" s="1">
        <v>202182909.04100001</v>
      </c>
      <c r="F147">
        <f t="shared" si="9"/>
        <v>20218.290904100002</v>
      </c>
      <c r="G147">
        <f t="shared" si="10"/>
        <v>202.18290904100002</v>
      </c>
      <c r="H147">
        <f t="shared" si="11"/>
        <v>6.4814818680782163E-2</v>
      </c>
    </row>
    <row r="148" spans="1:8" x14ac:dyDescent="0.3">
      <c r="A148" s="1" t="s">
        <v>149</v>
      </c>
      <c r="B148" s="1" t="s">
        <v>179</v>
      </c>
      <c r="C148" s="1" t="s">
        <v>38</v>
      </c>
      <c r="D148" s="1">
        <v>980</v>
      </c>
      <c r="E148" s="1">
        <v>425638319.38699901</v>
      </c>
      <c r="F148">
        <f t="shared" si="9"/>
        <v>42563.831938699899</v>
      </c>
      <c r="G148">
        <f t="shared" si="10"/>
        <v>425.638319386999</v>
      </c>
      <c r="H148">
        <f t="shared" si="11"/>
        <v>0.13644907289896979</v>
      </c>
    </row>
    <row r="149" spans="1:8" ht="28.8" x14ac:dyDescent="0.3">
      <c r="A149" s="1" t="s">
        <v>76</v>
      </c>
      <c r="B149" s="1" t="s">
        <v>179</v>
      </c>
      <c r="C149" s="1" t="s">
        <v>38</v>
      </c>
      <c r="D149" s="1">
        <v>61</v>
      </c>
      <c r="E149" s="1">
        <v>25531112.142000001</v>
      </c>
      <c r="F149">
        <f t="shared" si="9"/>
        <v>2553.1112142000002</v>
      </c>
      <c r="G149">
        <f t="shared" si="10"/>
        <v>25.531112142000001</v>
      </c>
      <c r="H149">
        <f t="shared" si="11"/>
        <v>8.1846403934512368E-3</v>
      </c>
    </row>
    <row r="150" spans="1:8" ht="28.8" x14ac:dyDescent="0.3">
      <c r="A150" s="1" t="s">
        <v>85</v>
      </c>
      <c r="B150" s="1" t="s">
        <v>179</v>
      </c>
      <c r="C150" s="1" t="s">
        <v>38</v>
      </c>
      <c r="D150" s="1">
        <v>48</v>
      </c>
      <c r="E150" s="1">
        <v>546635.11199999903</v>
      </c>
      <c r="F150">
        <f t="shared" si="9"/>
        <v>54.663511199999903</v>
      </c>
      <c r="G150">
        <f t="shared" si="10"/>
        <v>0.54663511199999903</v>
      </c>
      <c r="H150">
        <f t="shared" si="11"/>
        <v>1.7523763920937672E-4</v>
      </c>
    </row>
    <row r="151" spans="1:8" ht="28.8" x14ac:dyDescent="0.3">
      <c r="A151" s="1" t="s">
        <v>150</v>
      </c>
      <c r="B151" s="1" t="s">
        <v>179</v>
      </c>
      <c r="C151" s="1" t="s">
        <v>38</v>
      </c>
      <c r="D151" s="1">
        <v>6169</v>
      </c>
      <c r="E151" s="1">
        <v>101745282.623</v>
      </c>
      <c r="F151">
        <f t="shared" si="9"/>
        <v>10174.5282623</v>
      </c>
      <c r="G151">
        <f t="shared" si="10"/>
        <v>101.74528262299999</v>
      </c>
      <c r="H151">
        <f t="shared" si="11"/>
        <v>3.2617010389821739E-2</v>
      </c>
    </row>
    <row r="152" spans="1:8" ht="28.8" x14ac:dyDescent="0.3">
      <c r="A152" s="1" t="s">
        <v>151</v>
      </c>
      <c r="B152" s="1" t="s">
        <v>179</v>
      </c>
      <c r="C152" s="1" t="s">
        <v>38</v>
      </c>
      <c r="D152" s="1">
        <v>5594</v>
      </c>
      <c r="E152" s="1">
        <v>242101709.801999</v>
      </c>
      <c r="F152">
        <f t="shared" si="9"/>
        <v>24210.170980199899</v>
      </c>
      <c r="G152">
        <f t="shared" si="10"/>
        <v>242.10170980199899</v>
      </c>
      <c r="H152">
        <f t="shared" si="11"/>
        <v>7.761179467420673E-2</v>
      </c>
    </row>
    <row r="153" spans="1:8" ht="28.8" x14ac:dyDescent="0.3">
      <c r="A153" s="1" t="s">
        <v>119</v>
      </c>
      <c r="B153" s="1" t="s">
        <v>179</v>
      </c>
      <c r="C153" s="1" t="s">
        <v>38</v>
      </c>
      <c r="D153" s="1">
        <v>719</v>
      </c>
      <c r="E153" s="1">
        <v>14707745.142000001</v>
      </c>
      <c r="F153">
        <f t="shared" si="9"/>
        <v>1470.7745142000001</v>
      </c>
      <c r="G153">
        <f t="shared" si="10"/>
        <v>14.707745142</v>
      </c>
      <c r="H153">
        <f t="shared" si="11"/>
        <v>4.7149377714640183E-3</v>
      </c>
    </row>
    <row r="154" spans="1:8" x14ac:dyDescent="0.3">
      <c r="A154" s="1" t="s">
        <v>152</v>
      </c>
      <c r="B154" s="1" t="s">
        <v>179</v>
      </c>
      <c r="C154" s="1" t="s">
        <v>38</v>
      </c>
      <c r="D154" s="1">
        <v>3</v>
      </c>
      <c r="E154" s="1">
        <v>295455.777</v>
      </c>
      <c r="F154">
        <f t="shared" si="9"/>
        <v>29.545577699999999</v>
      </c>
      <c r="G154">
        <f t="shared" si="10"/>
        <v>0.29545577699999998</v>
      </c>
      <c r="H154">
        <f t="shared" si="11"/>
        <v>9.471578337297176E-5</v>
      </c>
    </row>
    <row r="155" spans="1:8" ht="28.8" x14ac:dyDescent="0.3">
      <c r="A155" s="1" t="s">
        <v>153</v>
      </c>
      <c r="B155" s="1" t="s">
        <v>179</v>
      </c>
      <c r="C155" s="1" t="s">
        <v>38</v>
      </c>
      <c r="D155" s="1">
        <v>2034</v>
      </c>
      <c r="E155" s="1">
        <v>40778411.957999997</v>
      </c>
      <c r="F155">
        <f t="shared" si="9"/>
        <v>4077.8411957999997</v>
      </c>
      <c r="G155">
        <f t="shared" si="10"/>
        <v>40.778411958</v>
      </c>
      <c r="H155">
        <f t="shared" si="11"/>
        <v>1.3072545991570607E-2</v>
      </c>
    </row>
    <row r="156" spans="1:8" ht="28.8" x14ac:dyDescent="0.3">
      <c r="A156" s="1" t="s">
        <v>154</v>
      </c>
      <c r="B156" s="1" t="s">
        <v>179</v>
      </c>
      <c r="C156" s="1" t="s">
        <v>38</v>
      </c>
      <c r="D156" s="1">
        <v>864</v>
      </c>
      <c r="E156" s="1">
        <v>26887272.590999998</v>
      </c>
      <c r="F156">
        <f t="shared" si="9"/>
        <v>2688.7272590999996</v>
      </c>
      <c r="G156">
        <f t="shared" si="10"/>
        <v>26.887272590999999</v>
      </c>
      <c r="H156">
        <f t="shared" si="11"/>
        <v>8.619391748157278E-3</v>
      </c>
    </row>
    <row r="157" spans="1:8" ht="28.8" x14ac:dyDescent="0.3">
      <c r="A157" s="1" t="s">
        <v>136</v>
      </c>
      <c r="B157" s="1" t="s">
        <v>179</v>
      </c>
      <c r="C157" s="1" t="s">
        <v>38</v>
      </c>
      <c r="D157" s="1">
        <v>1213</v>
      </c>
      <c r="E157" s="1">
        <v>54365670.188000001</v>
      </c>
      <c r="F157">
        <f t="shared" si="9"/>
        <v>5436.5670188000004</v>
      </c>
      <c r="G157">
        <f t="shared" si="10"/>
        <v>54.365670188000003</v>
      </c>
      <c r="H157">
        <f t="shared" si="11"/>
        <v>1.7428283490469834E-2</v>
      </c>
    </row>
    <row r="158" spans="1:8" ht="28.8" x14ac:dyDescent="0.3">
      <c r="A158" s="1" t="s">
        <v>155</v>
      </c>
      <c r="B158" s="1" t="s">
        <v>179</v>
      </c>
      <c r="C158" s="1" t="s">
        <v>38</v>
      </c>
      <c r="D158" s="1">
        <v>177</v>
      </c>
      <c r="E158" s="1">
        <v>3112270.27399999</v>
      </c>
      <c r="F158">
        <f t="shared" si="9"/>
        <v>311.22702739999897</v>
      </c>
      <c r="G158">
        <f t="shared" si="10"/>
        <v>3.1122702739999899</v>
      </c>
      <c r="H158">
        <f t="shared" si="11"/>
        <v>9.9771654514077242E-4</v>
      </c>
    </row>
    <row r="159" spans="1:8" x14ac:dyDescent="0.3">
      <c r="A159" s="1" t="s">
        <v>156</v>
      </c>
      <c r="B159" s="1" t="s">
        <v>179</v>
      </c>
      <c r="C159" s="1" t="s">
        <v>38</v>
      </c>
      <c r="D159" s="1">
        <v>20</v>
      </c>
      <c r="E159" s="1">
        <v>493891.42099999997</v>
      </c>
      <c r="F159">
        <f t="shared" si="9"/>
        <v>49.389142100000001</v>
      </c>
      <c r="G159">
        <f t="shared" si="10"/>
        <v>0.493891421</v>
      </c>
      <c r="H159">
        <f t="shared" si="11"/>
        <v>1.5832932195874847E-4</v>
      </c>
    </row>
    <row r="160" spans="1:8" ht="28.8" x14ac:dyDescent="0.3">
      <c r="A160" s="1" t="s">
        <v>100</v>
      </c>
      <c r="B160" s="1" t="s">
        <v>179</v>
      </c>
      <c r="C160" s="1" t="s">
        <v>38</v>
      </c>
      <c r="D160" s="1">
        <v>691</v>
      </c>
      <c r="E160" s="1">
        <v>57691569.108999997</v>
      </c>
      <c r="F160">
        <f t="shared" si="9"/>
        <v>5769.1569109000002</v>
      </c>
      <c r="G160">
        <f t="shared" si="10"/>
        <v>57.691569109</v>
      </c>
      <c r="H160">
        <f t="shared" si="11"/>
        <v>1.8494484073583957E-2</v>
      </c>
    </row>
    <row r="161" spans="1:8" x14ac:dyDescent="0.3">
      <c r="A161" s="1" t="s">
        <v>131</v>
      </c>
      <c r="B161" s="1" t="s">
        <v>179</v>
      </c>
      <c r="C161" s="1" t="s">
        <v>38</v>
      </c>
      <c r="D161" s="1">
        <v>6199</v>
      </c>
      <c r="E161" s="1">
        <v>130654675.25</v>
      </c>
      <c r="F161">
        <f t="shared" si="9"/>
        <v>13065.467525</v>
      </c>
      <c r="G161">
        <f t="shared" si="10"/>
        <v>130.65467525</v>
      </c>
      <c r="H161">
        <f t="shared" si="11"/>
        <v>4.1884643594716289E-2</v>
      </c>
    </row>
    <row r="162" spans="1:8" ht="28.8" x14ac:dyDescent="0.3">
      <c r="A162" s="1" t="s">
        <v>130</v>
      </c>
      <c r="B162" s="1" t="s">
        <v>179</v>
      </c>
      <c r="C162" s="1" t="s">
        <v>38</v>
      </c>
      <c r="D162" s="1">
        <v>790</v>
      </c>
      <c r="E162" s="1">
        <v>10206884.439999901</v>
      </c>
      <c r="F162">
        <f t="shared" si="9"/>
        <v>1020.6884439999901</v>
      </c>
      <c r="G162">
        <f t="shared" si="10"/>
        <v>10.2068844399999</v>
      </c>
      <c r="H162">
        <f t="shared" si="11"/>
        <v>3.2720736258678293E-3</v>
      </c>
    </row>
    <row r="163" spans="1:8" ht="28.8" x14ac:dyDescent="0.3">
      <c r="A163" s="1" t="s">
        <v>157</v>
      </c>
      <c r="B163" s="1" t="s">
        <v>179</v>
      </c>
      <c r="C163" s="1" t="s">
        <v>38</v>
      </c>
      <c r="D163" s="1">
        <v>330</v>
      </c>
      <c r="E163" s="1">
        <v>4287710.3880000003</v>
      </c>
      <c r="F163">
        <f t="shared" si="9"/>
        <v>428.77103880000004</v>
      </c>
      <c r="G163">
        <f t="shared" si="10"/>
        <v>4.2877103880000007</v>
      </c>
      <c r="H163">
        <f t="shared" si="11"/>
        <v>1.3745334493014455E-3</v>
      </c>
    </row>
    <row r="164" spans="1:8" ht="28.8" x14ac:dyDescent="0.3">
      <c r="A164" s="1" t="s">
        <v>137</v>
      </c>
      <c r="B164" s="1" t="s">
        <v>179</v>
      </c>
      <c r="C164" s="1" t="s">
        <v>38</v>
      </c>
      <c r="D164" s="1">
        <v>3462</v>
      </c>
      <c r="E164" s="1">
        <v>71283616.537999898</v>
      </c>
      <c r="F164">
        <f t="shared" si="9"/>
        <v>7128.3616537999897</v>
      </c>
      <c r="G164">
        <f t="shared" si="10"/>
        <v>71.283616537999904</v>
      </c>
      <c r="H164">
        <f t="shared" si="11"/>
        <v>2.2851756870725142E-2</v>
      </c>
    </row>
    <row r="165" spans="1:8" ht="43.2" x14ac:dyDescent="0.3">
      <c r="A165" s="1" t="s">
        <v>158</v>
      </c>
      <c r="B165" s="1" t="s">
        <v>179</v>
      </c>
      <c r="C165" s="1" t="s">
        <v>38</v>
      </c>
      <c r="D165" s="1">
        <v>27</v>
      </c>
      <c r="E165" s="1">
        <v>149646.28799999901</v>
      </c>
      <c r="F165">
        <f t="shared" si="9"/>
        <v>14.9646287999999</v>
      </c>
      <c r="G165">
        <f t="shared" si="10"/>
        <v>0.14964628799999902</v>
      </c>
      <c r="H165">
        <f t="shared" si="11"/>
        <v>4.797288291566304E-5</v>
      </c>
    </row>
    <row r="166" spans="1:8" ht="28.8" x14ac:dyDescent="0.3">
      <c r="A166" s="1" t="s">
        <v>159</v>
      </c>
      <c r="B166" s="1" t="s">
        <v>179</v>
      </c>
      <c r="C166" s="1" t="s">
        <v>38</v>
      </c>
      <c r="D166" s="1">
        <v>15</v>
      </c>
      <c r="E166" s="1">
        <v>58397.974999999999</v>
      </c>
      <c r="F166">
        <f t="shared" si="9"/>
        <v>5.8397974999999995</v>
      </c>
      <c r="G166">
        <f t="shared" si="10"/>
        <v>5.8397974999999998E-2</v>
      </c>
      <c r="H166">
        <f t="shared" si="11"/>
        <v>1.8720940256044546E-5</v>
      </c>
    </row>
    <row r="167" spans="1:8" ht="28.8" x14ac:dyDescent="0.3">
      <c r="A167" s="1" t="s">
        <v>160</v>
      </c>
      <c r="B167" s="1" t="s">
        <v>179</v>
      </c>
      <c r="C167" s="1" t="s">
        <v>38</v>
      </c>
      <c r="D167" s="1">
        <v>139</v>
      </c>
      <c r="E167" s="1">
        <v>2977812.1869999901</v>
      </c>
      <c r="F167">
        <f t="shared" si="9"/>
        <v>297.78121869999899</v>
      </c>
      <c r="G167">
        <f t="shared" si="10"/>
        <v>2.9778121869999903</v>
      </c>
      <c r="H167">
        <f t="shared" si="11"/>
        <v>9.5461262221075587E-4</v>
      </c>
    </row>
    <row r="168" spans="1:8" ht="28.8" x14ac:dyDescent="0.3">
      <c r="A168" s="1" t="s">
        <v>142</v>
      </c>
      <c r="B168" s="1" t="s">
        <v>179</v>
      </c>
      <c r="C168" s="1" t="s">
        <v>38</v>
      </c>
      <c r="D168" s="1">
        <v>12</v>
      </c>
      <c r="E168" s="1">
        <v>829533.43</v>
      </c>
      <c r="F168">
        <f t="shared" si="9"/>
        <v>82.953343000000004</v>
      </c>
      <c r="G168">
        <f t="shared" si="10"/>
        <v>0.82953343000000002</v>
      </c>
      <c r="H168">
        <f t="shared" si="11"/>
        <v>2.65927813137728E-4</v>
      </c>
    </row>
    <row r="169" spans="1:8" x14ac:dyDescent="0.3">
      <c r="A169" s="1" t="s">
        <v>140</v>
      </c>
      <c r="B169" s="1" t="s">
        <v>179</v>
      </c>
      <c r="C169" s="1" t="s">
        <v>38</v>
      </c>
      <c r="D169" s="1">
        <v>4</v>
      </c>
      <c r="E169" s="1">
        <v>98075.069000000003</v>
      </c>
      <c r="F169">
        <f t="shared" si="9"/>
        <v>9.8075068999999999</v>
      </c>
      <c r="G169">
        <f t="shared" si="10"/>
        <v>9.8075069000000001E-2</v>
      </c>
      <c r="H169">
        <f t="shared" si="11"/>
        <v>3.1440431065571134E-5</v>
      </c>
    </row>
    <row r="170" spans="1:8" ht="28.8" x14ac:dyDescent="0.3">
      <c r="A170" s="1" t="s">
        <v>138</v>
      </c>
      <c r="B170" s="1" t="s">
        <v>179</v>
      </c>
      <c r="C170" s="1" t="s">
        <v>38</v>
      </c>
      <c r="D170" s="1">
        <v>16</v>
      </c>
      <c r="E170" s="1">
        <v>240931.55699999901</v>
      </c>
      <c r="F170">
        <f t="shared" si="9"/>
        <v>24.093155699999901</v>
      </c>
      <c r="G170">
        <f t="shared" si="10"/>
        <v>0.24093155699999902</v>
      </c>
      <c r="H170">
        <f t="shared" si="11"/>
        <v>7.7236672750943377E-5</v>
      </c>
    </row>
    <row r="171" spans="1:8" ht="43.2" x14ac:dyDescent="0.3">
      <c r="A171" s="1" t="s">
        <v>161</v>
      </c>
      <c r="B171" s="1" t="s">
        <v>179</v>
      </c>
      <c r="C171" s="1" t="s">
        <v>38</v>
      </c>
      <c r="D171" s="1">
        <v>1</v>
      </c>
      <c r="E171" s="1">
        <v>902.529</v>
      </c>
      <c r="F171">
        <f t="shared" si="9"/>
        <v>9.0252899999999997E-2</v>
      </c>
      <c r="G171">
        <f t="shared" si="10"/>
        <v>9.02529E-4</v>
      </c>
      <c r="H171">
        <f t="shared" si="11"/>
        <v>2.8932837976569614E-7</v>
      </c>
    </row>
    <row r="172" spans="1:8" ht="28.8" x14ac:dyDescent="0.3">
      <c r="A172" s="1" t="s">
        <v>162</v>
      </c>
      <c r="B172" s="1" t="s">
        <v>179</v>
      </c>
      <c r="C172" s="1" t="s">
        <v>38</v>
      </c>
      <c r="D172" s="1">
        <v>14</v>
      </c>
      <c r="E172" s="1">
        <v>291033.76799999998</v>
      </c>
      <c r="F172">
        <f t="shared" si="9"/>
        <v>29.103376799999999</v>
      </c>
      <c r="G172">
        <f t="shared" si="10"/>
        <v>0.29103376799999997</v>
      </c>
      <c r="H172">
        <f t="shared" si="11"/>
        <v>9.3298197124464145E-5</v>
      </c>
    </row>
    <row r="173" spans="1:8" ht="28.8" x14ac:dyDescent="0.3">
      <c r="A173" s="1" t="s">
        <v>84</v>
      </c>
      <c r="B173" s="1" t="s">
        <v>179</v>
      </c>
      <c r="C173" s="1" t="s">
        <v>38</v>
      </c>
      <c r="D173" s="1">
        <v>3</v>
      </c>
      <c r="E173" s="1">
        <v>4174.0079999999998</v>
      </c>
      <c r="F173">
        <f t="shared" si="9"/>
        <v>0.41740079999999996</v>
      </c>
      <c r="G173">
        <f t="shared" si="10"/>
        <v>4.1740079999999999E-3</v>
      </c>
      <c r="H173">
        <f t="shared" si="11"/>
        <v>1.3380832879265416E-6</v>
      </c>
    </row>
    <row r="174" spans="1:8" x14ac:dyDescent="0.3">
      <c r="A174" s="1" t="s">
        <v>163</v>
      </c>
      <c r="B174" s="1" t="s">
        <v>179</v>
      </c>
      <c r="C174" s="1" t="s">
        <v>38</v>
      </c>
      <c r="D174" s="1">
        <v>12</v>
      </c>
      <c r="E174" s="1">
        <v>129694.306999999</v>
      </c>
      <c r="F174">
        <f t="shared" si="9"/>
        <v>12.969430699999899</v>
      </c>
      <c r="G174">
        <f t="shared" si="10"/>
        <v>0.12969430699999901</v>
      </c>
      <c r="H174">
        <f t="shared" si="11"/>
        <v>4.1576773388051236E-5</v>
      </c>
    </row>
    <row r="175" spans="1:8" x14ac:dyDescent="0.3">
      <c r="A175" s="1" t="s">
        <v>172</v>
      </c>
      <c r="B175" s="1" t="s">
        <v>179</v>
      </c>
      <c r="C175" s="1" t="s">
        <v>38</v>
      </c>
      <c r="D175" s="1">
        <v>2</v>
      </c>
      <c r="E175" s="1">
        <v>33758549.042999998</v>
      </c>
      <c r="F175">
        <f t="shared" si="9"/>
        <v>3375.8549042999998</v>
      </c>
      <c r="G175">
        <f t="shared" si="10"/>
        <v>33.758549042999995</v>
      </c>
      <c r="H175">
        <f t="shared" si="11"/>
        <v>1.082215230519128E-2</v>
      </c>
    </row>
    <row r="176" spans="1:8" ht="28.8" x14ac:dyDescent="0.3">
      <c r="A176" s="1" t="s">
        <v>65</v>
      </c>
      <c r="B176" s="1" t="s">
        <v>179</v>
      </c>
      <c r="C176" s="1" t="s">
        <v>31</v>
      </c>
      <c r="D176" s="1">
        <v>1401</v>
      </c>
      <c r="E176" s="1">
        <v>152610044.82800001</v>
      </c>
      <c r="F176">
        <f t="shared" si="9"/>
        <v>15261.004482800001</v>
      </c>
      <c r="G176">
        <f t="shared" si="10"/>
        <v>152.61004482800001</v>
      </c>
      <c r="H176">
        <f>E176/SUM($E$176:$E$220)</f>
        <v>3.0359468588599434E-2</v>
      </c>
    </row>
    <row r="177" spans="1:8" ht="28.8" x14ac:dyDescent="0.3">
      <c r="A177" s="1" t="s">
        <v>90</v>
      </c>
      <c r="B177" s="1" t="s">
        <v>179</v>
      </c>
      <c r="C177" s="1" t="s">
        <v>31</v>
      </c>
      <c r="D177" s="1">
        <v>4954</v>
      </c>
      <c r="E177" s="1">
        <v>685694328.57900095</v>
      </c>
      <c r="F177">
        <f t="shared" si="9"/>
        <v>68569.432857900101</v>
      </c>
      <c r="G177">
        <f t="shared" si="10"/>
        <v>685.69432857900097</v>
      </c>
      <c r="H177">
        <f t="shared" ref="H177:H220" si="12">E177/SUM($E$176:$E$220)</f>
        <v>0.13640855327273657</v>
      </c>
    </row>
    <row r="178" spans="1:8" ht="28.8" x14ac:dyDescent="0.3">
      <c r="A178" s="1" t="s">
        <v>67</v>
      </c>
      <c r="B178" s="1" t="s">
        <v>179</v>
      </c>
      <c r="C178" s="1" t="s">
        <v>31</v>
      </c>
      <c r="D178" s="1">
        <v>124</v>
      </c>
      <c r="E178" s="1">
        <v>1770237.3659999999</v>
      </c>
      <c r="F178">
        <f t="shared" si="9"/>
        <v>177.02373659999998</v>
      </c>
      <c r="G178">
        <f t="shared" si="10"/>
        <v>1.7702373659999999</v>
      </c>
      <c r="H178">
        <f t="shared" si="12"/>
        <v>3.5216204652854837E-4</v>
      </c>
    </row>
    <row r="179" spans="1:8" ht="28.8" x14ac:dyDescent="0.3">
      <c r="A179" s="1" t="s">
        <v>80</v>
      </c>
      <c r="B179" s="1" t="s">
        <v>179</v>
      </c>
      <c r="C179" s="1" t="s">
        <v>31</v>
      </c>
      <c r="D179" s="1">
        <v>121</v>
      </c>
      <c r="E179" s="1">
        <v>15242587.1599999</v>
      </c>
      <c r="F179">
        <f t="shared" si="9"/>
        <v>1524.25871599999</v>
      </c>
      <c r="G179">
        <f t="shared" si="10"/>
        <v>15.2425871599999</v>
      </c>
      <c r="H179">
        <f t="shared" si="12"/>
        <v>3.0322830100375018E-3</v>
      </c>
    </row>
    <row r="180" spans="1:8" x14ac:dyDescent="0.3">
      <c r="A180" s="1" t="s">
        <v>69</v>
      </c>
      <c r="B180" s="1" t="s">
        <v>179</v>
      </c>
      <c r="C180" s="1" t="s">
        <v>31</v>
      </c>
      <c r="D180" s="1">
        <v>79</v>
      </c>
      <c r="E180" s="1">
        <v>23201378.587000001</v>
      </c>
      <c r="F180">
        <f t="shared" si="9"/>
        <v>2320.1378586999999</v>
      </c>
      <c r="G180">
        <f t="shared" si="10"/>
        <v>23.201378587000001</v>
      </c>
      <c r="H180">
        <f t="shared" si="12"/>
        <v>4.6155646256319958E-3</v>
      </c>
    </row>
    <row r="181" spans="1:8" x14ac:dyDescent="0.3">
      <c r="A181" s="1" t="s">
        <v>70</v>
      </c>
      <c r="B181" s="1" t="s">
        <v>179</v>
      </c>
      <c r="C181" s="1" t="s">
        <v>31</v>
      </c>
      <c r="D181" s="1">
        <v>55</v>
      </c>
      <c r="E181" s="1">
        <v>21864482.450999901</v>
      </c>
      <c r="F181">
        <f t="shared" si="9"/>
        <v>2186.4482450999899</v>
      </c>
      <c r="G181">
        <f t="shared" si="10"/>
        <v>21.864482450999901</v>
      </c>
      <c r="H181">
        <f t="shared" si="12"/>
        <v>4.3496092863693717E-3</v>
      </c>
    </row>
    <row r="182" spans="1:8" ht="28.8" x14ac:dyDescent="0.3">
      <c r="A182" s="1" t="s">
        <v>72</v>
      </c>
      <c r="B182" s="1" t="s">
        <v>179</v>
      </c>
      <c r="C182" s="1" t="s">
        <v>31</v>
      </c>
      <c r="D182" s="1">
        <v>1643</v>
      </c>
      <c r="E182" s="1">
        <v>149292294.31099901</v>
      </c>
      <c r="F182">
        <f t="shared" si="9"/>
        <v>14929.2294310999</v>
      </c>
      <c r="G182">
        <f t="shared" si="10"/>
        <v>149.29229431099901</v>
      </c>
      <c r="H182">
        <f t="shared" si="12"/>
        <v>2.9699452121667493E-2</v>
      </c>
    </row>
    <row r="183" spans="1:8" x14ac:dyDescent="0.3">
      <c r="A183" s="1" t="s">
        <v>94</v>
      </c>
      <c r="B183" s="1" t="s">
        <v>179</v>
      </c>
      <c r="C183" s="1" t="s">
        <v>31</v>
      </c>
      <c r="D183" s="1">
        <v>9</v>
      </c>
      <c r="E183" s="1">
        <v>1881244.74</v>
      </c>
      <c r="F183">
        <f t="shared" si="9"/>
        <v>188.12447399999999</v>
      </c>
      <c r="G183">
        <f t="shared" si="10"/>
        <v>1.8812447400000001</v>
      </c>
      <c r="H183">
        <f t="shared" si="12"/>
        <v>3.7424529070722765E-4</v>
      </c>
    </row>
    <row r="184" spans="1:8" x14ac:dyDescent="0.3">
      <c r="A184" s="1" t="s">
        <v>95</v>
      </c>
      <c r="B184" s="1" t="s">
        <v>179</v>
      </c>
      <c r="C184" s="1" t="s">
        <v>31</v>
      </c>
      <c r="D184" s="1">
        <v>1443</v>
      </c>
      <c r="E184" s="1">
        <v>685933443.30599999</v>
      </c>
      <c r="F184">
        <f t="shared" si="9"/>
        <v>68593.344330599997</v>
      </c>
      <c r="G184">
        <f t="shared" si="10"/>
        <v>685.93344330599996</v>
      </c>
      <c r="H184">
        <f t="shared" si="12"/>
        <v>0.13645612154421952</v>
      </c>
    </row>
    <row r="185" spans="1:8" ht="28.8" x14ac:dyDescent="0.3">
      <c r="A185" s="1" t="s">
        <v>81</v>
      </c>
      <c r="B185" s="1" t="s">
        <v>179</v>
      </c>
      <c r="C185" s="1" t="s">
        <v>31</v>
      </c>
      <c r="D185" s="1">
        <v>3865</v>
      </c>
      <c r="E185" s="1">
        <v>278375168.18800002</v>
      </c>
      <c r="F185">
        <f t="shared" si="9"/>
        <v>27837.516818800003</v>
      </c>
      <c r="G185">
        <f t="shared" si="10"/>
        <v>278.37516818800003</v>
      </c>
      <c r="H185">
        <f t="shared" si="12"/>
        <v>5.5378544603500904E-2</v>
      </c>
    </row>
    <row r="186" spans="1:8" ht="28.8" x14ac:dyDescent="0.3">
      <c r="A186" s="1" t="s">
        <v>93</v>
      </c>
      <c r="B186" s="1" t="s">
        <v>179</v>
      </c>
      <c r="C186" s="1" t="s">
        <v>31</v>
      </c>
      <c r="D186" s="1">
        <v>3712</v>
      </c>
      <c r="E186" s="1">
        <v>382918054.35399902</v>
      </c>
      <c r="F186">
        <f t="shared" si="9"/>
        <v>38291.805435399903</v>
      </c>
      <c r="G186">
        <f t="shared" si="10"/>
        <v>382.91805435399903</v>
      </c>
      <c r="H186">
        <f t="shared" si="12"/>
        <v>7.6175776347291405E-2</v>
      </c>
    </row>
    <row r="187" spans="1:8" ht="28.8" x14ac:dyDescent="0.3">
      <c r="A187" s="1" t="s">
        <v>75</v>
      </c>
      <c r="B187" s="1" t="s">
        <v>179</v>
      </c>
      <c r="C187" s="1" t="s">
        <v>31</v>
      </c>
      <c r="D187" s="1">
        <v>446</v>
      </c>
      <c r="E187" s="1">
        <v>30807671.649</v>
      </c>
      <c r="F187">
        <f t="shared" si="9"/>
        <v>3080.7671648999999</v>
      </c>
      <c r="G187">
        <f t="shared" si="10"/>
        <v>30.807671649</v>
      </c>
      <c r="H187">
        <f t="shared" si="12"/>
        <v>6.1287220036521251E-3</v>
      </c>
    </row>
    <row r="188" spans="1:8" ht="28.8" x14ac:dyDescent="0.3">
      <c r="A188" s="1" t="s">
        <v>96</v>
      </c>
      <c r="B188" s="1" t="s">
        <v>179</v>
      </c>
      <c r="C188" s="1" t="s">
        <v>31</v>
      </c>
      <c r="D188" s="1">
        <v>68</v>
      </c>
      <c r="E188" s="1">
        <v>3278228.3699999899</v>
      </c>
      <c r="F188">
        <f t="shared" si="9"/>
        <v>327.82283699999897</v>
      </c>
      <c r="G188">
        <f t="shared" si="10"/>
        <v>3.2782283699999897</v>
      </c>
      <c r="H188">
        <f t="shared" si="12"/>
        <v>6.521541313839513E-4</v>
      </c>
    </row>
    <row r="189" spans="1:8" ht="28.8" x14ac:dyDescent="0.3">
      <c r="A189" s="1" t="s">
        <v>97</v>
      </c>
      <c r="B189" s="1" t="s">
        <v>179</v>
      </c>
      <c r="C189" s="1" t="s">
        <v>31</v>
      </c>
      <c r="D189" s="1">
        <v>4113</v>
      </c>
      <c r="E189" s="1">
        <v>412610485.21200001</v>
      </c>
      <c r="F189">
        <f t="shared" si="9"/>
        <v>41261.048521199999</v>
      </c>
      <c r="G189">
        <f t="shared" si="10"/>
        <v>412.61048521200001</v>
      </c>
      <c r="H189">
        <f t="shared" si="12"/>
        <v>8.2082638002227828E-2</v>
      </c>
    </row>
    <row r="190" spans="1:8" ht="28.8" x14ac:dyDescent="0.3">
      <c r="A190" s="1" t="s">
        <v>98</v>
      </c>
      <c r="B190" s="1" t="s">
        <v>179</v>
      </c>
      <c r="C190" s="1" t="s">
        <v>31</v>
      </c>
      <c r="D190" s="1">
        <v>3318</v>
      </c>
      <c r="E190" s="1">
        <v>380260471.27399999</v>
      </c>
      <c r="F190">
        <f t="shared" si="9"/>
        <v>38026.047127400001</v>
      </c>
      <c r="G190">
        <f t="shared" si="10"/>
        <v>380.260471274</v>
      </c>
      <c r="H190">
        <f t="shared" si="12"/>
        <v>7.5647090243242621E-2</v>
      </c>
    </row>
    <row r="191" spans="1:8" x14ac:dyDescent="0.3">
      <c r="A191" s="1" t="s">
        <v>99</v>
      </c>
      <c r="B191" s="1" t="s">
        <v>179</v>
      </c>
      <c r="C191" s="1" t="s">
        <v>31</v>
      </c>
      <c r="D191" s="1">
        <v>113</v>
      </c>
      <c r="E191" s="1">
        <v>5851920.2620000001</v>
      </c>
      <c r="F191">
        <f t="shared" si="9"/>
        <v>585.19202619999999</v>
      </c>
      <c r="G191">
        <f t="shared" si="10"/>
        <v>5.8519202620000002</v>
      </c>
      <c r="H191">
        <f t="shared" si="12"/>
        <v>1.1641513478186287E-3</v>
      </c>
    </row>
    <row r="192" spans="1:8" ht="28.8" x14ac:dyDescent="0.3">
      <c r="A192" s="1" t="s">
        <v>71</v>
      </c>
      <c r="B192" s="1" t="s">
        <v>179</v>
      </c>
      <c r="C192" s="1" t="s">
        <v>31</v>
      </c>
      <c r="D192" s="1">
        <v>385</v>
      </c>
      <c r="E192" s="1">
        <v>27318678.331999999</v>
      </c>
      <c r="F192">
        <f t="shared" si="9"/>
        <v>2731.8678332</v>
      </c>
      <c r="G192">
        <f t="shared" si="10"/>
        <v>27.318678331999998</v>
      </c>
      <c r="H192">
        <f t="shared" si="12"/>
        <v>5.4346393622855156E-3</v>
      </c>
    </row>
    <row r="193" spans="1:8" ht="28.8" x14ac:dyDescent="0.3">
      <c r="A193" s="1" t="s">
        <v>91</v>
      </c>
      <c r="B193" s="1" t="s">
        <v>179</v>
      </c>
      <c r="C193" s="1" t="s">
        <v>31</v>
      </c>
      <c r="D193" s="1">
        <v>459</v>
      </c>
      <c r="E193" s="1">
        <v>35965566</v>
      </c>
      <c r="F193">
        <f t="shared" si="9"/>
        <v>3596.5565999999999</v>
      </c>
      <c r="G193">
        <f t="shared" si="10"/>
        <v>35.965566000000003</v>
      </c>
      <c r="H193">
        <f t="shared" si="12"/>
        <v>7.1548073554321178E-3</v>
      </c>
    </row>
    <row r="194" spans="1:8" x14ac:dyDescent="0.3">
      <c r="A194" s="1" t="s">
        <v>66</v>
      </c>
      <c r="B194" s="1" t="s">
        <v>179</v>
      </c>
      <c r="C194" s="1" t="s">
        <v>31</v>
      </c>
      <c r="D194" s="1">
        <v>330</v>
      </c>
      <c r="E194" s="1">
        <v>25177540.151000001</v>
      </c>
      <c r="F194">
        <f t="shared" si="9"/>
        <v>2517.7540150999998</v>
      </c>
      <c r="G194">
        <f t="shared" si="10"/>
        <v>25.177540151000002</v>
      </c>
      <c r="H194">
        <f t="shared" si="12"/>
        <v>5.0086921880796286E-3</v>
      </c>
    </row>
    <row r="195" spans="1:8" ht="28.8" x14ac:dyDescent="0.3">
      <c r="A195" s="1" t="s">
        <v>100</v>
      </c>
      <c r="B195" s="1" t="s">
        <v>179</v>
      </c>
      <c r="C195" s="1" t="s">
        <v>31</v>
      </c>
      <c r="D195" s="1">
        <v>5</v>
      </c>
      <c r="E195" s="1">
        <v>108831.503</v>
      </c>
      <c r="F195">
        <f t="shared" ref="F195:F241" si="13">E195/10000</f>
        <v>10.8831503</v>
      </c>
      <c r="G195">
        <f t="shared" ref="G195:G241" si="14">E195/1000000</f>
        <v>0.108831503</v>
      </c>
      <c r="H195">
        <f t="shared" si="12"/>
        <v>2.1650387433556101E-5</v>
      </c>
    </row>
    <row r="196" spans="1:8" x14ac:dyDescent="0.3">
      <c r="A196" s="1" t="s">
        <v>73</v>
      </c>
      <c r="B196" s="1" t="s">
        <v>179</v>
      </c>
      <c r="C196" s="1" t="s">
        <v>31</v>
      </c>
      <c r="D196" s="1">
        <v>902</v>
      </c>
      <c r="E196" s="1">
        <v>195340074.23899901</v>
      </c>
      <c r="F196">
        <f t="shared" si="13"/>
        <v>19534.0074238999</v>
      </c>
      <c r="G196">
        <f t="shared" si="14"/>
        <v>195.34007423899902</v>
      </c>
      <c r="H196">
        <f t="shared" si="12"/>
        <v>3.8859963999338873E-2</v>
      </c>
    </row>
    <row r="197" spans="1:8" ht="28.8" x14ac:dyDescent="0.3">
      <c r="A197" s="1" t="s">
        <v>101</v>
      </c>
      <c r="B197" s="1" t="s">
        <v>179</v>
      </c>
      <c r="C197" s="1" t="s">
        <v>31</v>
      </c>
      <c r="D197" s="1">
        <v>739</v>
      </c>
      <c r="E197" s="1">
        <v>68224307.628999993</v>
      </c>
      <c r="F197">
        <f t="shared" si="13"/>
        <v>6822.4307628999995</v>
      </c>
      <c r="G197">
        <f t="shared" si="14"/>
        <v>68.224307628999995</v>
      </c>
      <c r="H197">
        <f t="shared" si="12"/>
        <v>1.3572197864013393E-2</v>
      </c>
    </row>
    <row r="198" spans="1:8" x14ac:dyDescent="0.3">
      <c r="A198" s="1" t="s">
        <v>78</v>
      </c>
      <c r="B198" s="1" t="s">
        <v>179</v>
      </c>
      <c r="C198" s="1" t="s">
        <v>31</v>
      </c>
      <c r="D198" s="1">
        <v>660</v>
      </c>
      <c r="E198" s="1">
        <v>70254083.919999897</v>
      </c>
      <c r="F198">
        <f t="shared" si="13"/>
        <v>7025.4083919999894</v>
      </c>
      <c r="G198">
        <f t="shared" si="14"/>
        <v>70.2540839199999</v>
      </c>
      <c r="H198">
        <f t="shared" si="12"/>
        <v>1.397599126842493E-2</v>
      </c>
    </row>
    <row r="199" spans="1:8" ht="28.8" x14ac:dyDescent="0.3">
      <c r="A199" s="1" t="s">
        <v>102</v>
      </c>
      <c r="B199" s="1" t="s">
        <v>179</v>
      </c>
      <c r="C199" s="1" t="s">
        <v>31</v>
      </c>
      <c r="D199" s="1">
        <v>16</v>
      </c>
      <c r="E199" s="1">
        <v>272697.61799999903</v>
      </c>
      <c r="F199">
        <f t="shared" si="13"/>
        <v>27.269761799999902</v>
      </c>
      <c r="G199">
        <f t="shared" si="14"/>
        <v>0.27269761799999903</v>
      </c>
      <c r="H199">
        <f t="shared" si="12"/>
        <v>5.4249081554151299E-5</v>
      </c>
    </row>
    <row r="200" spans="1:8" x14ac:dyDescent="0.3">
      <c r="A200" s="1" t="s">
        <v>74</v>
      </c>
      <c r="B200" s="1" t="s">
        <v>179</v>
      </c>
      <c r="C200" s="1" t="s">
        <v>31</v>
      </c>
      <c r="D200" s="1">
        <v>3873</v>
      </c>
      <c r="E200" s="1">
        <v>566249739.60200095</v>
      </c>
      <c r="F200">
        <f t="shared" si="13"/>
        <v>56624.973960200092</v>
      </c>
      <c r="G200">
        <f t="shared" si="14"/>
        <v>566.249739602001</v>
      </c>
      <c r="H200">
        <f t="shared" si="12"/>
        <v>0.11264685232302248</v>
      </c>
    </row>
    <row r="201" spans="1:8" x14ac:dyDescent="0.3">
      <c r="A201" s="1" t="s">
        <v>103</v>
      </c>
      <c r="B201" s="1" t="s">
        <v>179</v>
      </c>
      <c r="C201" s="1" t="s">
        <v>31</v>
      </c>
      <c r="D201" s="1">
        <v>708</v>
      </c>
      <c r="E201" s="1">
        <v>67136482.151999906</v>
      </c>
      <c r="F201">
        <f t="shared" si="13"/>
        <v>6713.6482151999908</v>
      </c>
      <c r="G201">
        <f t="shared" si="14"/>
        <v>67.1364821519999</v>
      </c>
      <c r="H201">
        <f t="shared" si="12"/>
        <v>1.3355791378869612E-2</v>
      </c>
    </row>
    <row r="202" spans="1:8" ht="28.8" x14ac:dyDescent="0.3">
      <c r="A202" s="1" t="s">
        <v>104</v>
      </c>
      <c r="B202" s="1" t="s">
        <v>179</v>
      </c>
      <c r="C202" s="1" t="s">
        <v>31</v>
      </c>
      <c r="D202" s="1">
        <v>23</v>
      </c>
      <c r="E202" s="1">
        <v>1141848.0900000001</v>
      </c>
      <c r="F202">
        <f t="shared" si="13"/>
        <v>114.184809</v>
      </c>
      <c r="G202">
        <f t="shared" si="14"/>
        <v>1.1418480900000001</v>
      </c>
      <c r="H202">
        <f t="shared" si="12"/>
        <v>2.2715346988055508E-4</v>
      </c>
    </row>
    <row r="203" spans="1:8" x14ac:dyDescent="0.3">
      <c r="A203" s="1" t="s">
        <v>105</v>
      </c>
      <c r="B203" s="1" t="s">
        <v>179</v>
      </c>
      <c r="C203" s="1" t="s">
        <v>31</v>
      </c>
      <c r="D203" s="1">
        <v>271</v>
      </c>
      <c r="E203" s="1">
        <v>27803684.9339999</v>
      </c>
      <c r="F203">
        <f t="shared" si="13"/>
        <v>2780.3684933999898</v>
      </c>
      <c r="G203">
        <f t="shared" si="14"/>
        <v>27.8036849339999</v>
      </c>
      <c r="H203">
        <f t="shared" si="12"/>
        <v>5.5311241167148506E-3</v>
      </c>
    </row>
    <row r="204" spans="1:8" ht="43.2" x14ac:dyDescent="0.3">
      <c r="A204" s="1" t="s">
        <v>106</v>
      </c>
      <c r="B204" s="1" t="s">
        <v>179</v>
      </c>
      <c r="C204" s="1" t="s">
        <v>31</v>
      </c>
      <c r="D204" s="1">
        <v>194</v>
      </c>
      <c r="E204" s="1">
        <v>14675451.236</v>
      </c>
      <c r="F204">
        <f t="shared" si="13"/>
        <v>1467.5451235999999</v>
      </c>
      <c r="G204">
        <f t="shared" si="14"/>
        <v>14.675451235999999</v>
      </c>
      <c r="H204">
        <f t="shared" si="12"/>
        <v>2.9194598646832964E-3</v>
      </c>
    </row>
    <row r="205" spans="1:8" x14ac:dyDescent="0.3">
      <c r="A205" s="1" t="s">
        <v>107</v>
      </c>
      <c r="B205" s="1" t="s">
        <v>179</v>
      </c>
      <c r="C205" s="1" t="s">
        <v>31</v>
      </c>
      <c r="D205" s="1">
        <v>3</v>
      </c>
      <c r="E205" s="1">
        <v>80219.967999999993</v>
      </c>
      <c r="F205">
        <f t="shared" si="13"/>
        <v>8.0219968000000001</v>
      </c>
      <c r="G205">
        <f t="shared" si="14"/>
        <v>8.0219967999999989E-2</v>
      </c>
      <c r="H205">
        <f t="shared" si="12"/>
        <v>1.5958553720492793E-5</v>
      </c>
    </row>
    <row r="206" spans="1:8" ht="28.8" x14ac:dyDescent="0.3">
      <c r="A206" s="1" t="s">
        <v>108</v>
      </c>
      <c r="B206" s="1" t="s">
        <v>179</v>
      </c>
      <c r="C206" s="1" t="s">
        <v>31</v>
      </c>
      <c r="D206" s="1">
        <v>70</v>
      </c>
      <c r="E206" s="1">
        <v>7857658.0060000001</v>
      </c>
      <c r="F206">
        <f t="shared" si="13"/>
        <v>785.76580060000003</v>
      </c>
      <c r="G206">
        <f t="shared" si="14"/>
        <v>7.8576580060000003</v>
      </c>
      <c r="H206">
        <f t="shared" si="12"/>
        <v>1.5631626455648959E-3</v>
      </c>
    </row>
    <row r="207" spans="1:8" ht="28.8" x14ac:dyDescent="0.3">
      <c r="A207" s="1" t="s">
        <v>109</v>
      </c>
      <c r="B207" s="1" t="s">
        <v>179</v>
      </c>
      <c r="C207" s="1" t="s">
        <v>31</v>
      </c>
      <c r="D207" s="1">
        <v>9</v>
      </c>
      <c r="E207" s="1">
        <v>150470.34399999899</v>
      </c>
      <c r="F207">
        <f t="shared" si="13"/>
        <v>15.0470343999999</v>
      </c>
      <c r="G207">
        <f t="shared" si="14"/>
        <v>0.15047034399999901</v>
      </c>
      <c r="H207">
        <f t="shared" si="12"/>
        <v>2.9933807354111814E-5</v>
      </c>
    </row>
    <row r="208" spans="1:8" ht="28.8" x14ac:dyDescent="0.3">
      <c r="A208" s="1" t="s">
        <v>110</v>
      </c>
      <c r="B208" s="1" t="s">
        <v>179</v>
      </c>
      <c r="C208" s="1" t="s">
        <v>31</v>
      </c>
      <c r="D208" s="1">
        <v>445</v>
      </c>
      <c r="E208" s="1">
        <v>45769616.424999997</v>
      </c>
      <c r="F208">
        <f t="shared" si="13"/>
        <v>4576.9616424999995</v>
      </c>
      <c r="G208">
        <f t="shared" si="14"/>
        <v>45.769616424999995</v>
      </c>
      <c r="H208">
        <f t="shared" si="12"/>
        <v>9.1051754406672389E-3</v>
      </c>
    </row>
    <row r="209" spans="1:8" ht="28.8" x14ac:dyDescent="0.3">
      <c r="A209" s="1" t="s">
        <v>84</v>
      </c>
      <c r="B209" s="1" t="s">
        <v>179</v>
      </c>
      <c r="C209" s="1" t="s">
        <v>31</v>
      </c>
      <c r="D209" s="1">
        <v>314</v>
      </c>
      <c r="E209" s="1">
        <v>44839421.387000002</v>
      </c>
      <c r="F209">
        <f t="shared" si="13"/>
        <v>4483.9421387000002</v>
      </c>
      <c r="G209">
        <f t="shared" si="14"/>
        <v>44.839421387000002</v>
      </c>
      <c r="H209">
        <f t="shared" si="12"/>
        <v>8.9201271558753681E-3</v>
      </c>
    </row>
    <row r="210" spans="1:8" ht="28.8" x14ac:dyDescent="0.3">
      <c r="A210" s="1" t="s">
        <v>85</v>
      </c>
      <c r="B210" s="1" t="s">
        <v>179</v>
      </c>
      <c r="C210" s="1" t="s">
        <v>31</v>
      </c>
      <c r="D210" s="1">
        <v>68</v>
      </c>
      <c r="E210" s="1">
        <v>3865537.3519999902</v>
      </c>
      <c r="F210">
        <f t="shared" si="13"/>
        <v>386.55373519999904</v>
      </c>
      <c r="G210">
        <f t="shared" si="14"/>
        <v>3.8655373519999903</v>
      </c>
      <c r="H210">
        <f t="shared" si="12"/>
        <v>7.6899040261974808E-4</v>
      </c>
    </row>
    <row r="211" spans="1:8" ht="28.8" x14ac:dyDescent="0.3">
      <c r="A211" s="1" t="s">
        <v>111</v>
      </c>
      <c r="B211" s="1" t="s">
        <v>179</v>
      </c>
      <c r="C211" s="1" t="s">
        <v>31</v>
      </c>
      <c r="D211" s="1">
        <v>1242</v>
      </c>
      <c r="E211" s="1">
        <v>132933645.81099901</v>
      </c>
      <c r="F211">
        <f t="shared" si="13"/>
        <v>13293.364581099901</v>
      </c>
      <c r="G211">
        <f t="shared" si="14"/>
        <v>132.933645810999</v>
      </c>
      <c r="H211">
        <f t="shared" si="12"/>
        <v>2.6445145527056176E-2</v>
      </c>
    </row>
    <row r="212" spans="1:8" ht="28.8" x14ac:dyDescent="0.3">
      <c r="A212" s="1" t="s">
        <v>112</v>
      </c>
      <c r="B212" s="1" t="s">
        <v>179</v>
      </c>
      <c r="C212" s="1" t="s">
        <v>31</v>
      </c>
      <c r="D212" s="1">
        <v>1284</v>
      </c>
      <c r="E212" s="1">
        <v>115126918.603999</v>
      </c>
      <c r="F212">
        <f t="shared" si="13"/>
        <v>11512.6918603999</v>
      </c>
      <c r="G212">
        <f t="shared" si="14"/>
        <v>115.126918603999</v>
      </c>
      <c r="H212">
        <f t="shared" si="12"/>
        <v>2.2902765496200638E-2</v>
      </c>
    </row>
    <row r="213" spans="1:8" ht="28.8" x14ac:dyDescent="0.3">
      <c r="A213" s="1" t="s">
        <v>113</v>
      </c>
      <c r="B213" s="1" t="s">
        <v>179</v>
      </c>
      <c r="C213" s="1" t="s">
        <v>31</v>
      </c>
      <c r="D213" s="1">
        <v>521</v>
      </c>
      <c r="E213" s="1">
        <v>44969850.278999902</v>
      </c>
      <c r="F213">
        <f t="shared" si="13"/>
        <v>4496.9850278999902</v>
      </c>
      <c r="G213">
        <f t="shared" si="14"/>
        <v>44.9698502789999</v>
      </c>
      <c r="H213">
        <f t="shared" si="12"/>
        <v>8.9460740183782902E-3</v>
      </c>
    </row>
    <row r="214" spans="1:8" ht="28.8" x14ac:dyDescent="0.3">
      <c r="A214" s="1" t="s">
        <v>114</v>
      </c>
      <c r="B214" s="1" t="s">
        <v>179</v>
      </c>
      <c r="C214" s="1" t="s">
        <v>31</v>
      </c>
      <c r="D214" s="1">
        <v>3456</v>
      </c>
      <c r="E214" s="1">
        <v>297711187.09799802</v>
      </c>
      <c r="F214">
        <f t="shared" si="13"/>
        <v>29771.118709799801</v>
      </c>
      <c r="G214">
        <f t="shared" si="14"/>
        <v>297.71118709799805</v>
      </c>
      <c r="H214">
        <f t="shared" si="12"/>
        <v>5.9225154172276445E-2</v>
      </c>
    </row>
    <row r="215" spans="1:8" ht="28.8" x14ac:dyDescent="0.3">
      <c r="A215" s="1" t="s">
        <v>87</v>
      </c>
      <c r="B215" s="1" t="s">
        <v>179</v>
      </c>
      <c r="C215" s="1" t="s">
        <v>31</v>
      </c>
      <c r="D215" s="1">
        <v>16</v>
      </c>
      <c r="E215" s="1">
        <v>298045.67499999999</v>
      </c>
      <c r="F215">
        <f t="shared" si="13"/>
        <v>29.804567499999997</v>
      </c>
      <c r="G215">
        <f t="shared" si="14"/>
        <v>0.29804567500000001</v>
      </c>
      <c r="H215">
        <f t="shared" si="12"/>
        <v>5.9291695499654598E-5</v>
      </c>
    </row>
    <row r="216" spans="1:8" ht="28.8" x14ac:dyDescent="0.3">
      <c r="A216" s="1" t="s">
        <v>115</v>
      </c>
      <c r="B216" s="1" t="s">
        <v>179</v>
      </c>
      <c r="C216" s="1" t="s">
        <v>31</v>
      </c>
      <c r="D216" s="1">
        <v>1</v>
      </c>
      <c r="E216" s="1">
        <v>13881.594999999999</v>
      </c>
      <c r="F216">
        <f t="shared" si="13"/>
        <v>1.3881595</v>
      </c>
      <c r="G216">
        <f t="shared" si="14"/>
        <v>1.3881595E-2</v>
      </c>
      <c r="H216">
        <f t="shared" si="12"/>
        <v>2.7615341299266555E-6</v>
      </c>
    </row>
    <row r="217" spans="1:8" ht="28.8" x14ac:dyDescent="0.3">
      <c r="A217" s="1" t="s">
        <v>116</v>
      </c>
      <c r="B217" s="1" t="s">
        <v>179</v>
      </c>
      <c r="C217" s="1" t="s">
        <v>31</v>
      </c>
      <c r="D217" s="1">
        <v>10</v>
      </c>
      <c r="E217" s="1">
        <v>749624.97600000002</v>
      </c>
      <c r="F217">
        <f t="shared" si="13"/>
        <v>74.962497600000006</v>
      </c>
      <c r="G217">
        <f t="shared" si="14"/>
        <v>0.749624976</v>
      </c>
      <c r="H217">
        <f t="shared" si="12"/>
        <v>1.4912659214373061E-4</v>
      </c>
    </row>
    <row r="218" spans="1:8" ht="43.2" x14ac:dyDescent="0.3">
      <c r="A218" s="1" t="s">
        <v>117</v>
      </c>
      <c r="B218" s="1" t="s">
        <v>179</v>
      </c>
      <c r="C218" s="1" t="s">
        <v>31</v>
      </c>
      <c r="D218" s="1">
        <v>38</v>
      </c>
      <c r="E218" s="1">
        <v>452017.41899999999</v>
      </c>
      <c r="F218">
        <f t="shared" si="13"/>
        <v>45.201741900000002</v>
      </c>
      <c r="G218">
        <f t="shared" si="14"/>
        <v>0.45201741899999998</v>
      </c>
      <c r="H218">
        <f t="shared" si="12"/>
        <v>8.9922053617747636E-5</v>
      </c>
    </row>
    <row r="219" spans="1:8" ht="28.8" x14ac:dyDescent="0.3">
      <c r="A219" s="1" t="s">
        <v>118</v>
      </c>
      <c r="B219" s="1" t="s">
        <v>179</v>
      </c>
      <c r="C219" s="1" t="s">
        <v>31</v>
      </c>
      <c r="D219" s="1">
        <v>1</v>
      </c>
      <c r="E219" s="1">
        <v>16094.727999999999</v>
      </c>
      <c r="F219">
        <f t="shared" si="13"/>
        <v>1.6094727999999998</v>
      </c>
      <c r="G219">
        <f t="shared" si="14"/>
        <v>1.6094727999999999E-2</v>
      </c>
      <c r="H219">
        <f t="shared" si="12"/>
        <v>3.2018035884122957E-6</v>
      </c>
    </row>
    <row r="220" spans="1:8" ht="28.8" x14ac:dyDescent="0.3">
      <c r="A220" s="1" t="s">
        <v>83</v>
      </c>
      <c r="B220" s="1" t="s">
        <v>179</v>
      </c>
      <c r="C220" s="1" t="s">
        <v>31</v>
      </c>
      <c r="D220" s="1">
        <v>13</v>
      </c>
      <c r="E220" s="1">
        <v>674089.64299999899</v>
      </c>
      <c r="F220">
        <f t="shared" si="13"/>
        <v>67.408964299999894</v>
      </c>
      <c r="G220">
        <f t="shared" si="14"/>
        <v>0.67408964299999896</v>
      </c>
      <c r="H220">
        <f t="shared" si="12"/>
        <v>1.340999759591439E-4</v>
      </c>
    </row>
    <row r="221" spans="1:8" x14ac:dyDescent="0.3">
      <c r="A221" s="1" t="s">
        <v>172</v>
      </c>
      <c r="B221" s="1" t="s">
        <v>179</v>
      </c>
      <c r="C221" s="1" t="s">
        <v>30</v>
      </c>
      <c r="D221" s="1">
        <v>4</v>
      </c>
      <c r="E221" s="1">
        <v>1927238.86499999</v>
      </c>
      <c r="F221">
        <f t="shared" si="13"/>
        <v>192.723886499999</v>
      </c>
      <c r="G221">
        <f t="shared" si="14"/>
        <v>1.9272388649999901</v>
      </c>
      <c r="H221">
        <f>E221/SUM($E$221:$E$230)</f>
        <v>1.2025228204983853E-3</v>
      </c>
    </row>
    <row r="222" spans="1:8" ht="28.8" x14ac:dyDescent="0.3">
      <c r="A222" s="1" t="s">
        <v>141</v>
      </c>
      <c r="B222" s="1" t="s">
        <v>179</v>
      </c>
      <c r="C222" s="1" t="s">
        <v>30</v>
      </c>
      <c r="D222" s="1">
        <v>3</v>
      </c>
      <c r="E222" s="1">
        <v>21204.059000000001</v>
      </c>
      <c r="F222">
        <f t="shared" si="13"/>
        <v>2.1204059000000002</v>
      </c>
      <c r="G222">
        <f t="shared" si="14"/>
        <v>2.1204059000000001E-2</v>
      </c>
      <c r="H222">
        <f t="shared" ref="H222:H230" si="15">E222/SUM($E$221:$E$230)</f>
        <v>1.3230516101435253E-5</v>
      </c>
    </row>
    <row r="223" spans="1:8" ht="28.8" x14ac:dyDescent="0.3">
      <c r="A223" s="1" t="s">
        <v>127</v>
      </c>
      <c r="B223" s="1" t="s">
        <v>179</v>
      </c>
      <c r="C223" s="1" t="s">
        <v>30</v>
      </c>
      <c r="D223" s="1">
        <v>11</v>
      </c>
      <c r="E223" s="1">
        <v>850085131.19700003</v>
      </c>
      <c r="F223">
        <f t="shared" si="13"/>
        <v>85008.513119700001</v>
      </c>
      <c r="G223">
        <f t="shared" si="14"/>
        <v>850.08513119700001</v>
      </c>
      <c r="H223">
        <f t="shared" si="15"/>
        <v>0.53042037922515728</v>
      </c>
    </row>
    <row r="224" spans="1:8" ht="28.8" x14ac:dyDescent="0.3">
      <c r="A224" s="1" t="s">
        <v>173</v>
      </c>
      <c r="B224" s="1" t="s">
        <v>179</v>
      </c>
      <c r="C224" s="1" t="s">
        <v>30</v>
      </c>
      <c r="D224" s="1">
        <v>8</v>
      </c>
      <c r="E224" s="1">
        <v>337204718.83399999</v>
      </c>
      <c r="F224">
        <f t="shared" si="13"/>
        <v>33720.471883400001</v>
      </c>
      <c r="G224">
        <f t="shared" si="14"/>
        <v>337.204718834</v>
      </c>
      <c r="H224">
        <f t="shared" si="15"/>
        <v>0.21040275647286136</v>
      </c>
    </row>
    <row r="225" spans="1:8" ht="28.8" x14ac:dyDescent="0.3">
      <c r="A225" s="1" t="s">
        <v>65</v>
      </c>
      <c r="B225" s="1" t="s">
        <v>179</v>
      </c>
      <c r="C225" s="1" t="s">
        <v>30</v>
      </c>
      <c r="D225" s="1">
        <v>5</v>
      </c>
      <c r="E225" s="1">
        <v>32005787.508999899</v>
      </c>
      <c r="F225">
        <f t="shared" si="13"/>
        <v>3200.5787508999897</v>
      </c>
      <c r="G225">
        <f t="shared" si="14"/>
        <v>32.005787508999902</v>
      </c>
      <c r="H225">
        <f t="shared" si="15"/>
        <v>1.9970378641982579E-2</v>
      </c>
    </row>
    <row r="226" spans="1:8" ht="28.8" x14ac:dyDescent="0.3">
      <c r="A226" s="1" t="s">
        <v>174</v>
      </c>
      <c r="B226" s="1" t="s">
        <v>179</v>
      </c>
      <c r="C226" s="1" t="s">
        <v>30</v>
      </c>
      <c r="D226" s="1">
        <v>11</v>
      </c>
      <c r="E226" s="1">
        <v>158785127.14399999</v>
      </c>
      <c r="F226">
        <f t="shared" si="13"/>
        <v>15878.5127144</v>
      </c>
      <c r="G226">
        <f t="shared" si="14"/>
        <v>158.785127144</v>
      </c>
      <c r="H226">
        <f t="shared" si="15"/>
        <v>9.9075803427406794E-2</v>
      </c>
    </row>
    <row r="227" spans="1:8" ht="28.8" x14ac:dyDescent="0.3">
      <c r="A227" s="1" t="s">
        <v>113</v>
      </c>
      <c r="B227" s="1" t="s">
        <v>179</v>
      </c>
      <c r="C227" s="1" t="s">
        <v>30</v>
      </c>
      <c r="D227" s="1">
        <v>6</v>
      </c>
      <c r="E227" s="1">
        <v>28335690.960999999</v>
      </c>
      <c r="F227">
        <f t="shared" si="13"/>
        <v>2833.5690961</v>
      </c>
      <c r="G227">
        <f t="shared" si="14"/>
        <v>28.335690961000001</v>
      </c>
      <c r="H227">
        <f t="shared" si="15"/>
        <v>1.7680379756762791E-2</v>
      </c>
    </row>
    <row r="228" spans="1:8" ht="28.8" x14ac:dyDescent="0.3">
      <c r="A228" s="1" t="s">
        <v>114</v>
      </c>
      <c r="B228" s="1" t="s">
        <v>179</v>
      </c>
      <c r="C228" s="1" t="s">
        <v>30</v>
      </c>
      <c r="D228" s="1">
        <v>5</v>
      </c>
      <c r="E228" s="1">
        <v>8581080.2190000005</v>
      </c>
      <c r="F228">
        <f t="shared" si="13"/>
        <v>858.10802190000004</v>
      </c>
      <c r="G228">
        <f t="shared" si="14"/>
        <v>8.5810802190000004</v>
      </c>
      <c r="H228">
        <f t="shared" si="15"/>
        <v>5.3542635400697126E-3</v>
      </c>
    </row>
    <row r="229" spans="1:8" ht="28.8" x14ac:dyDescent="0.3">
      <c r="A229" s="1" t="s">
        <v>175</v>
      </c>
      <c r="B229" s="1" t="s">
        <v>179</v>
      </c>
      <c r="C229" s="1" t="s">
        <v>30</v>
      </c>
      <c r="D229" s="1">
        <v>4</v>
      </c>
      <c r="E229" s="1">
        <v>2574405.2719999999</v>
      </c>
      <c r="F229">
        <f t="shared" si="13"/>
        <v>257.44052719999996</v>
      </c>
      <c r="G229">
        <f t="shared" si="14"/>
        <v>2.5744052719999999</v>
      </c>
      <c r="H229">
        <f t="shared" si="15"/>
        <v>1.606329731624299E-3</v>
      </c>
    </row>
    <row r="230" spans="1:8" ht="28.8" x14ac:dyDescent="0.3">
      <c r="A230" s="1" t="s">
        <v>108</v>
      </c>
      <c r="B230" s="1" t="s">
        <v>179</v>
      </c>
      <c r="C230" s="1" t="s">
        <v>30</v>
      </c>
      <c r="D230" s="1">
        <v>4</v>
      </c>
      <c r="E230" s="1">
        <v>183142644.15700001</v>
      </c>
      <c r="F230">
        <f t="shared" si="13"/>
        <v>18314.2644157</v>
      </c>
      <c r="G230">
        <f t="shared" si="14"/>
        <v>183.14264415700001</v>
      </c>
      <c r="H230">
        <f t="shared" si="15"/>
        <v>0.11427395586753535</v>
      </c>
    </row>
    <row r="231" spans="1:8" x14ac:dyDescent="0.3">
      <c r="A231" s="1"/>
      <c r="B231" s="1" t="s">
        <v>181</v>
      </c>
      <c r="C231" s="1" t="s">
        <v>12</v>
      </c>
      <c r="D231" s="1">
        <v>11356</v>
      </c>
      <c r="E231" s="1">
        <v>94088528.897999898</v>
      </c>
      <c r="F231">
        <f t="shared" si="13"/>
        <v>9408.8528897999895</v>
      </c>
      <c r="G231">
        <f t="shared" si="14"/>
        <v>94.088528897999893</v>
      </c>
      <c r="H231">
        <f>E231/E231</f>
        <v>1</v>
      </c>
    </row>
    <row r="232" spans="1:8" x14ac:dyDescent="0.3">
      <c r="A232" s="1" t="s">
        <v>172</v>
      </c>
      <c r="B232" s="1" t="s">
        <v>179</v>
      </c>
      <c r="C232" s="1" t="s">
        <v>4</v>
      </c>
      <c r="D232" s="1">
        <v>2</v>
      </c>
      <c r="E232" s="1">
        <v>794735.95499999996</v>
      </c>
      <c r="F232">
        <f t="shared" si="13"/>
        <v>79.473595500000002</v>
      </c>
      <c r="G232">
        <f t="shared" si="14"/>
        <v>0.79473595499999994</v>
      </c>
      <c r="H232">
        <f>E232/SUM($E$232:$E$241)</f>
        <v>1.2353736025239087E-3</v>
      </c>
    </row>
    <row r="233" spans="1:8" ht="28.8" x14ac:dyDescent="0.3">
      <c r="A233" s="1" t="s">
        <v>127</v>
      </c>
      <c r="B233" s="1" t="s">
        <v>179</v>
      </c>
      <c r="C233" s="1" t="s">
        <v>4</v>
      </c>
      <c r="D233" s="1">
        <v>3</v>
      </c>
      <c r="E233" s="1">
        <v>2497503.4509999999</v>
      </c>
      <c r="F233">
        <f t="shared" si="13"/>
        <v>249.75034509999998</v>
      </c>
      <c r="G233">
        <f t="shared" si="14"/>
        <v>2.497503451</v>
      </c>
      <c r="H233">
        <f t="shared" ref="H233:H241" si="16">E233/SUM($E$232:$E$241)</f>
        <v>3.8822326033780166E-3</v>
      </c>
    </row>
    <row r="234" spans="1:8" ht="28.8" x14ac:dyDescent="0.3">
      <c r="A234" s="1" t="s">
        <v>173</v>
      </c>
      <c r="B234" s="1" t="s">
        <v>179</v>
      </c>
      <c r="C234" s="1" t="s">
        <v>4</v>
      </c>
      <c r="D234" s="1">
        <v>3</v>
      </c>
      <c r="E234" s="1">
        <v>6630164.0130000003</v>
      </c>
      <c r="F234">
        <f t="shared" si="13"/>
        <v>663.01640129999998</v>
      </c>
      <c r="G234">
        <f t="shared" si="14"/>
        <v>6.6301640129999999</v>
      </c>
      <c r="H234">
        <f t="shared" si="16"/>
        <v>1.0306227559648017E-2</v>
      </c>
    </row>
    <row r="235" spans="1:8" ht="28.8" x14ac:dyDescent="0.3">
      <c r="A235" s="1" t="s">
        <v>65</v>
      </c>
      <c r="B235" s="1" t="s">
        <v>179</v>
      </c>
      <c r="C235" s="1" t="s">
        <v>4</v>
      </c>
      <c r="D235" s="1">
        <v>2</v>
      </c>
      <c r="E235" s="1">
        <v>20175138.897</v>
      </c>
      <c r="F235">
        <f t="shared" si="13"/>
        <v>2017.5138896999999</v>
      </c>
      <c r="G235">
        <f t="shared" si="14"/>
        <v>20.175138897</v>
      </c>
      <c r="H235">
        <f t="shared" si="16"/>
        <v>3.1361150661174161E-2</v>
      </c>
    </row>
    <row r="236" spans="1:8" ht="28.8" x14ac:dyDescent="0.3">
      <c r="A236" s="1" t="s">
        <v>90</v>
      </c>
      <c r="B236" s="1" t="s">
        <v>179</v>
      </c>
      <c r="C236" s="1" t="s">
        <v>4</v>
      </c>
      <c r="D236" s="1">
        <v>1</v>
      </c>
      <c r="E236" s="1">
        <v>85717.206000000006</v>
      </c>
      <c r="F236">
        <f t="shared" si="13"/>
        <v>8.5717206000000008</v>
      </c>
      <c r="G236">
        <f t="shared" si="14"/>
        <v>8.5717206000000004E-2</v>
      </c>
      <c r="H236">
        <f t="shared" si="16"/>
        <v>1.3324271150473368E-4</v>
      </c>
    </row>
    <row r="237" spans="1:8" ht="28.8" x14ac:dyDescent="0.3">
      <c r="A237" s="1" t="s">
        <v>174</v>
      </c>
      <c r="B237" s="1" t="s">
        <v>179</v>
      </c>
      <c r="C237" s="1" t="s">
        <v>4</v>
      </c>
      <c r="D237" s="1">
        <v>3</v>
      </c>
      <c r="E237" s="1">
        <v>40040804.751999997</v>
      </c>
      <c r="F237">
        <f t="shared" si="13"/>
        <v>4004.0804751999995</v>
      </c>
      <c r="G237">
        <f t="shared" si="14"/>
        <v>40.040804752</v>
      </c>
      <c r="H237">
        <f t="shared" si="16"/>
        <v>6.2241242394066192E-2</v>
      </c>
    </row>
    <row r="238" spans="1:8" ht="28.8" x14ac:dyDescent="0.3">
      <c r="A238" s="1" t="s">
        <v>113</v>
      </c>
      <c r="B238" s="1" t="s">
        <v>179</v>
      </c>
      <c r="C238" s="1" t="s">
        <v>4</v>
      </c>
      <c r="D238" s="1">
        <v>7</v>
      </c>
      <c r="E238" s="1">
        <v>560369973.61500001</v>
      </c>
      <c r="F238">
        <f t="shared" si="13"/>
        <v>56036.997361499998</v>
      </c>
      <c r="G238">
        <f t="shared" si="14"/>
        <v>560.36997361500005</v>
      </c>
      <c r="H238">
        <f t="shared" si="16"/>
        <v>0.87106449468615055</v>
      </c>
    </row>
    <row r="239" spans="1:8" ht="28.8" x14ac:dyDescent="0.3">
      <c r="A239" s="1" t="s">
        <v>114</v>
      </c>
      <c r="B239" s="1" t="s">
        <v>179</v>
      </c>
      <c r="C239" s="1" t="s">
        <v>4</v>
      </c>
      <c r="D239" s="1">
        <v>5</v>
      </c>
      <c r="E239" s="1">
        <v>10745268.308</v>
      </c>
      <c r="F239">
        <f t="shared" si="13"/>
        <v>1074.5268308</v>
      </c>
      <c r="G239">
        <f t="shared" si="14"/>
        <v>10.745268308</v>
      </c>
      <c r="H239">
        <f t="shared" si="16"/>
        <v>1.670293225847564E-2</v>
      </c>
    </row>
    <row r="240" spans="1:8" ht="28.8" x14ac:dyDescent="0.3">
      <c r="A240" s="1" t="s">
        <v>175</v>
      </c>
      <c r="B240" s="1" t="s">
        <v>179</v>
      </c>
      <c r="C240" s="1" t="s">
        <v>4</v>
      </c>
      <c r="D240" s="1">
        <v>1</v>
      </c>
      <c r="E240" s="1">
        <v>23317.620999999999</v>
      </c>
      <c r="F240">
        <f t="shared" si="13"/>
        <v>2.3317620999999997</v>
      </c>
      <c r="G240">
        <f t="shared" si="14"/>
        <v>2.3317621E-2</v>
      </c>
      <c r="H240">
        <f t="shared" si="16"/>
        <v>3.6245967325156624E-5</v>
      </c>
    </row>
    <row r="241" spans="1:8" ht="28.8" x14ac:dyDescent="0.3">
      <c r="A241" s="1" t="s">
        <v>108</v>
      </c>
      <c r="B241" s="1" t="s">
        <v>179</v>
      </c>
      <c r="C241" s="1" t="s">
        <v>4</v>
      </c>
      <c r="D241" s="1">
        <v>1</v>
      </c>
      <c r="E241" s="1">
        <v>1953659.9169999999</v>
      </c>
      <c r="F241">
        <f t="shared" si="13"/>
        <v>195.3659917</v>
      </c>
      <c r="G241">
        <f t="shared" si="14"/>
        <v>1.953659917</v>
      </c>
      <c r="H241">
        <f t="shared" si="16"/>
        <v>3.0368575557536597E-3</v>
      </c>
    </row>
    <row r="244" spans="1:8" x14ac:dyDescent="0.3">
      <c r="A244" s="1" t="s">
        <v>183</v>
      </c>
      <c r="B244" s="1"/>
      <c r="C244" s="1" t="s">
        <v>64</v>
      </c>
      <c r="D244" s="1" t="s">
        <v>2</v>
      </c>
      <c r="E244" s="1" t="s">
        <v>184</v>
      </c>
    </row>
    <row r="245" spans="1:8" ht="28.8" x14ac:dyDescent="0.3">
      <c r="A245" s="1" t="s">
        <v>186</v>
      </c>
      <c r="B245" s="1" t="s">
        <v>181</v>
      </c>
      <c r="C245" s="1" t="s">
        <v>51</v>
      </c>
      <c r="D245" s="1">
        <v>6456</v>
      </c>
      <c r="E245" s="1">
        <v>46240724.409000099</v>
      </c>
    </row>
    <row r="246" spans="1:8" ht="28.8" x14ac:dyDescent="0.3">
      <c r="A246" s="1" t="s">
        <v>185</v>
      </c>
      <c r="B246" s="1" t="s">
        <v>181</v>
      </c>
      <c r="C246" s="1" t="s">
        <v>51</v>
      </c>
      <c r="D246" s="1">
        <v>1838</v>
      </c>
      <c r="E246" s="1">
        <v>1589921.5009999899</v>
      </c>
    </row>
    <row r="247" spans="1:8" x14ac:dyDescent="0.3">
      <c r="A247" s="1" t="s">
        <v>186</v>
      </c>
      <c r="B247" s="1" t="s">
        <v>181</v>
      </c>
      <c r="C247" s="1" t="s">
        <v>12</v>
      </c>
      <c r="D247" s="1">
        <v>7930</v>
      </c>
      <c r="E247" s="1">
        <v>90936348.899000004</v>
      </c>
    </row>
    <row r="248" spans="1:8" x14ac:dyDescent="0.3">
      <c r="A248" s="1" t="s">
        <v>185</v>
      </c>
      <c r="B248" s="1" t="s">
        <v>181</v>
      </c>
      <c r="C248" s="1" t="s">
        <v>12</v>
      </c>
      <c r="D248" s="1">
        <v>3426</v>
      </c>
      <c r="E248" s="1">
        <v>3152179.9989999998</v>
      </c>
    </row>
  </sheetData>
  <sortState xmlns:xlrd2="http://schemas.microsoft.com/office/spreadsheetml/2017/richdata2" ref="A2:E241">
    <sortCondition ref="C2:C241"/>
  </sortState>
  <conditionalFormatting sqref="H1:H242 H249:H1048576">
    <cfRule type="cellIs" dxfId="17" priority="3" operator="greaterThan">
      <formula>0.05</formula>
    </cfRule>
    <cfRule type="cellIs" dxfId="16" priority="4" operator="greaterThan">
      <formula>0.01</formula>
    </cfRule>
  </conditionalFormatting>
  <conditionalFormatting sqref="G243">
    <cfRule type="cellIs" dxfId="15" priority="1" operator="greaterThan">
      <formula>0.05</formula>
    </cfRule>
    <cfRule type="cellIs" dxfId="14" priority="2" operator="greaterThan">
      <formula>0.01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4DB6-DDF2-4BEC-926D-B204E4571E89}">
  <dimension ref="A1:H131"/>
  <sheetViews>
    <sheetView workbookViewId="0">
      <selection activeCell="B16" sqref="B16"/>
    </sheetView>
  </sheetViews>
  <sheetFormatPr defaultRowHeight="14.4" x14ac:dyDescent="0.3"/>
  <cols>
    <col min="1" max="1" width="23.33203125" customWidth="1"/>
    <col min="2" max="2" width="130" customWidth="1"/>
    <col min="4" max="4" width="6" bestFit="1" customWidth="1"/>
    <col min="5" max="5" width="11.5546875" bestFit="1" customWidth="1"/>
  </cols>
  <sheetData>
    <row r="1" spans="1:8" ht="28.8" x14ac:dyDescent="0.3">
      <c r="A1" s="1" t="s">
        <v>64</v>
      </c>
      <c r="B1" s="1" t="s">
        <v>177</v>
      </c>
      <c r="C1" s="1" t="s">
        <v>178</v>
      </c>
      <c r="D1" s="1" t="s">
        <v>2</v>
      </c>
      <c r="E1" s="1" t="s">
        <v>54</v>
      </c>
      <c r="F1" s="2" t="s">
        <v>55</v>
      </c>
      <c r="G1" s="2" t="s">
        <v>176</v>
      </c>
      <c r="H1" s="2" t="s">
        <v>56</v>
      </c>
    </row>
    <row r="2" spans="1:8" x14ac:dyDescent="0.3">
      <c r="A2" s="4" t="s">
        <v>53</v>
      </c>
      <c r="B2" s="4" t="s">
        <v>136</v>
      </c>
      <c r="C2" s="4" t="s">
        <v>179</v>
      </c>
      <c r="D2" s="4">
        <v>600</v>
      </c>
      <c r="E2" s="4">
        <v>37565518.783</v>
      </c>
      <c r="F2" s="5">
        <v>3756.5518782999998</v>
      </c>
      <c r="G2" s="5">
        <v>37.565518783000002</v>
      </c>
      <c r="H2" s="5">
        <v>6.0209133585066108E-3</v>
      </c>
    </row>
    <row r="3" spans="1:8" x14ac:dyDescent="0.3">
      <c r="A3" s="4" t="s">
        <v>53</v>
      </c>
      <c r="B3" s="4" t="s">
        <v>142</v>
      </c>
      <c r="C3" s="4" t="s">
        <v>179</v>
      </c>
      <c r="D3" s="4">
        <v>106</v>
      </c>
      <c r="E3" s="4">
        <v>44999782.702</v>
      </c>
      <c r="F3" s="5">
        <v>4499.9782702000002</v>
      </c>
      <c r="G3" s="5">
        <v>44.999782701999997</v>
      </c>
      <c r="H3" s="5">
        <v>7.2124597657088211E-3</v>
      </c>
    </row>
    <row r="4" spans="1:8" s="5" customFormat="1" x14ac:dyDescent="0.3">
      <c r="A4" s="4" t="s">
        <v>53</v>
      </c>
      <c r="B4" s="4" t="s">
        <v>127</v>
      </c>
      <c r="C4" s="6" t="s">
        <v>179</v>
      </c>
      <c r="D4" s="4">
        <v>984</v>
      </c>
      <c r="E4" s="4">
        <v>49333431.727999903</v>
      </c>
      <c r="F4" s="5">
        <v>4933.3431727999905</v>
      </c>
      <c r="G4" s="5">
        <v>49.333431727999901</v>
      </c>
      <c r="H4" s="5">
        <v>7.9070468806225636E-3</v>
      </c>
    </row>
    <row r="5" spans="1:8" s="5" customFormat="1" x14ac:dyDescent="0.3">
      <c r="A5" s="4" t="s">
        <v>53</v>
      </c>
      <c r="B5" s="4" t="s">
        <v>128</v>
      </c>
      <c r="C5" s="6" t="s">
        <v>179</v>
      </c>
      <c r="D5" s="4">
        <v>876</v>
      </c>
      <c r="E5" s="4">
        <v>100221831.88699999</v>
      </c>
      <c r="F5" s="5">
        <v>10022.183188699999</v>
      </c>
      <c r="G5" s="5">
        <v>100.22183188699999</v>
      </c>
      <c r="H5" s="5">
        <v>1.6063320459067332E-2</v>
      </c>
    </row>
    <row r="6" spans="1:8" s="5" customFormat="1" x14ac:dyDescent="0.3">
      <c r="A6" s="4" t="s">
        <v>53</v>
      </c>
      <c r="B6" s="4" t="s">
        <v>120</v>
      </c>
      <c r="C6" s="6" t="s">
        <v>179</v>
      </c>
      <c r="D6" s="4">
        <v>618</v>
      </c>
      <c r="E6" s="4">
        <v>114257183.324</v>
      </c>
      <c r="F6" s="5">
        <v>11425.7183324</v>
      </c>
      <c r="G6" s="5">
        <v>114.257183324</v>
      </c>
      <c r="H6" s="5">
        <v>1.8312873711519968E-2</v>
      </c>
    </row>
    <row r="7" spans="1:8" s="5" customFormat="1" x14ac:dyDescent="0.3">
      <c r="A7" s="4" t="s">
        <v>53</v>
      </c>
      <c r="B7" s="4" t="s">
        <v>132</v>
      </c>
      <c r="C7" s="6" t="s">
        <v>179</v>
      </c>
      <c r="D7" s="4">
        <v>768</v>
      </c>
      <c r="E7" s="4">
        <v>192832073.956999</v>
      </c>
      <c r="F7" s="5">
        <v>19283.207395699901</v>
      </c>
      <c r="G7" s="5">
        <v>192.83207395699901</v>
      </c>
      <c r="H7" s="5">
        <v>3.090667313136225E-2</v>
      </c>
    </row>
    <row r="8" spans="1:8" s="5" customFormat="1" ht="28.8" x14ac:dyDescent="0.3">
      <c r="A8" s="4" t="s">
        <v>53</v>
      </c>
      <c r="B8" s="4" t="s">
        <v>121</v>
      </c>
      <c r="C8" s="6" t="s">
        <v>179</v>
      </c>
      <c r="D8" s="4">
        <v>809</v>
      </c>
      <c r="E8" s="4">
        <v>196102241.01899999</v>
      </c>
      <c r="F8" s="5">
        <v>19610.224101899999</v>
      </c>
      <c r="G8" s="5">
        <v>196.10224101899999</v>
      </c>
      <c r="H8" s="5">
        <v>3.143080784814567E-2</v>
      </c>
    </row>
    <row r="9" spans="1:8" s="5" customFormat="1" ht="28.8" x14ac:dyDescent="0.3">
      <c r="A9" s="4" t="s">
        <v>53</v>
      </c>
      <c r="B9" s="4" t="s">
        <v>124</v>
      </c>
      <c r="C9" s="6" t="s">
        <v>179</v>
      </c>
      <c r="D9" s="4">
        <v>1327</v>
      </c>
      <c r="E9" s="4">
        <v>253340129.69999999</v>
      </c>
      <c r="F9" s="5">
        <v>25334.01297</v>
      </c>
      <c r="G9" s="5">
        <v>253.34012969999998</v>
      </c>
      <c r="H9" s="5">
        <v>4.060476257409782E-2</v>
      </c>
    </row>
    <row r="10" spans="1:8" s="5" customFormat="1" x14ac:dyDescent="0.3">
      <c r="A10" s="4" t="s">
        <v>53</v>
      </c>
      <c r="B10" s="4" t="s">
        <v>129</v>
      </c>
      <c r="C10" s="6" t="s">
        <v>179</v>
      </c>
      <c r="D10" s="4">
        <v>2383</v>
      </c>
      <c r="E10" s="4">
        <v>270963836.91199899</v>
      </c>
      <c r="F10" s="5">
        <v>27096.383691199899</v>
      </c>
      <c r="G10" s="5">
        <v>270.96383691199901</v>
      </c>
      <c r="H10" s="5">
        <v>4.3429449084940147E-2</v>
      </c>
    </row>
    <row r="11" spans="1:8" s="5" customFormat="1" x14ac:dyDescent="0.3">
      <c r="A11" s="4" t="s">
        <v>53</v>
      </c>
      <c r="B11" s="4" t="s">
        <v>131</v>
      </c>
      <c r="C11" s="6" t="s">
        <v>179</v>
      </c>
      <c r="D11" s="4">
        <v>2796</v>
      </c>
      <c r="E11" s="4">
        <v>298173706.96399897</v>
      </c>
      <c r="F11" s="5">
        <v>29817.370696399896</v>
      </c>
      <c r="G11" s="5">
        <v>298.173706963999</v>
      </c>
      <c r="H11" s="5">
        <v>4.7790583321517095E-2</v>
      </c>
    </row>
    <row r="12" spans="1:8" s="5" customFormat="1" ht="28.8" x14ac:dyDescent="0.3">
      <c r="A12" s="4" t="s">
        <v>53</v>
      </c>
      <c r="B12" s="4" t="s">
        <v>122</v>
      </c>
      <c r="C12" s="6" t="s">
        <v>179</v>
      </c>
      <c r="D12" s="4">
        <v>3051</v>
      </c>
      <c r="E12" s="4">
        <v>404644123.287</v>
      </c>
      <c r="F12" s="5">
        <v>40464.412328699997</v>
      </c>
      <c r="G12" s="5">
        <v>404.64412328700001</v>
      </c>
      <c r="H12" s="5">
        <v>6.4855412257541781E-2</v>
      </c>
    </row>
    <row r="13" spans="1:8" s="5" customFormat="1" x14ac:dyDescent="0.3">
      <c r="A13" s="4" t="s">
        <v>53</v>
      </c>
      <c r="B13" s="4" t="s">
        <v>95</v>
      </c>
      <c r="C13" s="4" t="s">
        <v>179</v>
      </c>
      <c r="D13" s="4">
        <v>1356</v>
      </c>
      <c r="E13" s="4">
        <v>698062293.50199997</v>
      </c>
      <c r="F13" s="5">
        <v>69806.229350199996</v>
      </c>
      <c r="G13" s="5">
        <v>698.06229350199999</v>
      </c>
      <c r="H13" s="5">
        <v>0.11188378928811649</v>
      </c>
    </row>
    <row r="14" spans="1:8" s="5" customFormat="1" x14ac:dyDescent="0.3">
      <c r="A14" s="4" t="s">
        <v>53</v>
      </c>
      <c r="B14" s="4" t="s">
        <v>123</v>
      </c>
      <c r="C14" s="4" t="s">
        <v>179</v>
      </c>
      <c r="D14" s="4">
        <v>9057</v>
      </c>
      <c r="E14" s="4">
        <v>698921772.43299997</v>
      </c>
      <c r="F14" s="5">
        <v>69892.177243300001</v>
      </c>
      <c r="G14" s="5">
        <v>698.921772433</v>
      </c>
      <c r="H14" s="5">
        <v>0.11202154455796663</v>
      </c>
    </row>
    <row r="15" spans="1:8" s="5" customFormat="1" x14ac:dyDescent="0.3">
      <c r="A15" s="4" t="s">
        <v>53</v>
      </c>
      <c r="B15" s="4" t="s">
        <v>126</v>
      </c>
      <c r="C15" s="4" t="s">
        <v>179</v>
      </c>
      <c r="D15" s="4">
        <v>9949</v>
      </c>
      <c r="E15" s="4">
        <v>1138270777.7059901</v>
      </c>
      <c r="F15" s="5">
        <v>113827.077770599</v>
      </c>
      <c r="G15" s="5">
        <v>1138.27077770599</v>
      </c>
      <c r="H15" s="5">
        <v>0.18243937400883636</v>
      </c>
    </row>
    <row r="16" spans="1:8" s="5" customFormat="1" x14ac:dyDescent="0.3">
      <c r="A16" s="4" t="s">
        <v>53</v>
      </c>
      <c r="B16" s="4" t="s">
        <v>105</v>
      </c>
      <c r="C16" s="4" t="s">
        <v>179</v>
      </c>
      <c r="D16" s="4">
        <v>5840</v>
      </c>
      <c r="E16" s="4">
        <v>1561134819.6259899</v>
      </c>
      <c r="F16" s="5">
        <v>156113.48196259901</v>
      </c>
      <c r="G16" s="5">
        <v>1561.1348196259898</v>
      </c>
      <c r="H16" s="5">
        <v>0.25021503214723567</v>
      </c>
    </row>
    <row r="17" spans="1:8" ht="15" customHeight="1" x14ac:dyDescent="0.3">
      <c r="A17" s="1" t="s">
        <v>51</v>
      </c>
      <c r="B17" s="1" t="s">
        <v>166</v>
      </c>
      <c r="C17" s="7" t="s">
        <v>180</v>
      </c>
      <c r="D17" s="1">
        <v>89</v>
      </c>
      <c r="E17" s="1">
        <v>6752947.8459999999</v>
      </c>
      <c r="F17">
        <v>675.29478459999996</v>
      </c>
      <c r="G17">
        <v>6.7529478459999996</v>
      </c>
      <c r="H17">
        <v>6.7006087101609641E-3</v>
      </c>
    </row>
    <row r="18" spans="1:8" ht="15" customHeight="1" x14ac:dyDescent="0.3">
      <c r="A18" s="1" t="s">
        <v>51</v>
      </c>
      <c r="B18" s="1" t="s">
        <v>169</v>
      </c>
      <c r="C18" s="7" t="s">
        <v>180</v>
      </c>
      <c r="D18" s="1">
        <v>24</v>
      </c>
      <c r="E18" s="1">
        <v>8711886.2430000007</v>
      </c>
      <c r="F18">
        <v>871.18862430000001</v>
      </c>
      <c r="G18">
        <v>8.7118862430000004</v>
      </c>
      <c r="H18">
        <v>8.6443642351472835E-3</v>
      </c>
    </row>
    <row r="19" spans="1:8" ht="15" customHeight="1" x14ac:dyDescent="0.3">
      <c r="A19" s="1" t="s">
        <v>51</v>
      </c>
      <c r="B19" s="1" t="s">
        <v>170</v>
      </c>
      <c r="C19" s="7" t="s">
        <v>180</v>
      </c>
      <c r="D19" s="1">
        <v>20</v>
      </c>
      <c r="E19" s="1">
        <v>9888831.3279999997</v>
      </c>
      <c r="F19">
        <v>988.8831328</v>
      </c>
      <c r="G19">
        <v>9.8888313280000002</v>
      </c>
      <c r="H19">
        <v>9.812187335188462E-3</v>
      </c>
    </row>
    <row r="20" spans="1:8" ht="15" customHeight="1" x14ac:dyDescent="0.3">
      <c r="A20" s="1" t="s">
        <v>51</v>
      </c>
      <c r="B20" s="1" t="s">
        <v>172</v>
      </c>
      <c r="C20" s="7" t="s">
        <v>180</v>
      </c>
      <c r="D20" s="1">
        <v>3</v>
      </c>
      <c r="E20" s="1">
        <v>14651345.757999999</v>
      </c>
      <c r="F20">
        <v>1465.1345758</v>
      </c>
      <c r="G20">
        <v>14.651345758</v>
      </c>
      <c r="H20">
        <v>1.453778960543666E-2</v>
      </c>
    </row>
    <row r="21" spans="1:8" ht="15" customHeight="1" x14ac:dyDescent="0.3">
      <c r="A21" s="1" t="s">
        <v>51</v>
      </c>
      <c r="B21" s="1" t="s">
        <v>167</v>
      </c>
      <c r="C21" s="7" t="s">
        <v>180</v>
      </c>
      <c r="D21" s="1">
        <v>151</v>
      </c>
      <c r="E21" s="1">
        <v>16988353.774</v>
      </c>
      <c r="F21">
        <v>1698.8353774</v>
      </c>
      <c r="G21">
        <v>16.988353774</v>
      </c>
      <c r="H21">
        <v>1.6856684497687485E-2</v>
      </c>
    </row>
    <row r="22" spans="1:8" ht="28.8" x14ac:dyDescent="0.3">
      <c r="A22" s="1" t="s">
        <v>51</v>
      </c>
      <c r="B22" s="1" t="s">
        <v>124</v>
      </c>
      <c r="C22" s="1" t="s">
        <v>179</v>
      </c>
      <c r="D22" s="1">
        <v>8</v>
      </c>
      <c r="E22" s="1">
        <v>30118604.787999999</v>
      </c>
      <c r="F22">
        <v>3011.8604787999998</v>
      </c>
      <c r="G22">
        <v>30.118604787999999</v>
      </c>
      <c r="H22">
        <v>2.988516869709118E-2</v>
      </c>
    </row>
    <row r="23" spans="1:8" ht="15" customHeight="1" x14ac:dyDescent="0.3">
      <c r="A23" s="1" t="s">
        <v>51</v>
      </c>
      <c r="B23" s="1" t="s">
        <v>168</v>
      </c>
      <c r="C23" s="7" t="s">
        <v>180</v>
      </c>
      <c r="D23" s="1">
        <v>110</v>
      </c>
      <c r="E23" s="1">
        <v>42313304.167000003</v>
      </c>
      <c r="F23">
        <v>4231.3304167000006</v>
      </c>
      <c r="G23">
        <v>42.313304167000005</v>
      </c>
      <c r="H23">
        <v>4.1985352311736251E-2</v>
      </c>
    </row>
    <row r="24" spans="1:8" ht="15" customHeight="1" x14ac:dyDescent="0.3">
      <c r="A24" s="1" t="s">
        <v>51</v>
      </c>
      <c r="B24" s="1"/>
      <c r="C24" s="7" t="s">
        <v>181</v>
      </c>
      <c r="D24" s="1">
        <v>8294</v>
      </c>
      <c r="E24" s="1">
        <v>47830645.909999803</v>
      </c>
      <c r="F24">
        <v>4783.0645909999803</v>
      </c>
      <c r="G24">
        <v>47.830645909999802</v>
      </c>
      <c r="H24">
        <v>4.7459931559668316E-2</v>
      </c>
    </row>
    <row r="25" spans="1:8" ht="15" customHeight="1" x14ac:dyDescent="0.3">
      <c r="A25" s="1" t="s">
        <v>51</v>
      </c>
      <c r="B25" s="1" t="s">
        <v>164</v>
      </c>
      <c r="C25" s="7" t="s">
        <v>180</v>
      </c>
      <c r="D25" s="1">
        <v>377</v>
      </c>
      <c r="E25" s="1">
        <v>50985595.339000002</v>
      </c>
      <c r="F25">
        <v>5098.5595339000001</v>
      </c>
      <c r="G25">
        <v>50.985595339</v>
      </c>
      <c r="H25">
        <v>5.0590428359906167E-2</v>
      </c>
    </row>
    <row r="26" spans="1:8" ht="28.8" x14ac:dyDescent="0.3">
      <c r="A26" s="1" t="s">
        <v>51</v>
      </c>
      <c r="B26" s="1" t="s">
        <v>121</v>
      </c>
      <c r="C26" s="1" t="s">
        <v>179</v>
      </c>
      <c r="D26" s="1">
        <v>8</v>
      </c>
      <c r="E26" s="1">
        <v>94163158.427000001</v>
      </c>
      <c r="F26">
        <v>9416.3158426999998</v>
      </c>
      <c r="G26">
        <v>94.163158426999999</v>
      </c>
      <c r="H26">
        <v>9.3433341100946948E-2</v>
      </c>
    </row>
    <row r="27" spans="1:8" ht="15" customHeight="1" x14ac:dyDescent="0.3">
      <c r="A27" s="1" t="s">
        <v>51</v>
      </c>
      <c r="B27" s="1" t="s">
        <v>171</v>
      </c>
      <c r="C27" s="7" t="s">
        <v>180</v>
      </c>
      <c r="D27" s="1">
        <v>339</v>
      </c>
      <c r="E27" s="1">
        <v>120673088.095999</v>
      </c>
      <c r="F27">
        <v>12067.308809599901</v>
      </c>
      <c r="G27">
        <v>120.67308809599901</v>
      </c>
      <c r="H27">
        <v>0.11973780393654654</v>
      </c>
    </row>
    <row r="28" spans="1:8" ht="28.8" x14ac:dyDescent="0.3">
      <c r="A28" s="1" t="s">
        <v>51</v>
      </c>
      <c r="B28" s="1" t="s">
        <v>122</v>
      </c>
      <c r="C28" s="1" t="s">
        <v>179</v>
      </c>
      <c r="D28" s="1">
        <v>9</v>
      </c>
      <c r="E28" s="1">
        <v>205193366.43000001</v>
      </c>
      <c r="F28">
        <v>20519.336643000002</v>
      </c>
      <c r="G28">
        <v>205.19336643</v>
      </c>
      <c r="H28">
        <v>0.2036030026771968</v>
      </c>
    </row>
    <row r="29" spans="1:8" ht="15" customHeight="1" x14ac:dyDescent="0.3">
      <c r="A29" s="1" t="s">
        <v>51</v>
      </c>
      <c r="B29" s="1" t="s">
        <v>165</v>
      </c>
      <c r="C29" s="7" t="s">
        <v>180</v>
      </c>
      <c r="D29" s="1">
        <v>719</v>
      </c>
      <c r="E29" s="1">
        <v>352405857.544999</v>
      </c>
      <c r="F29">
        <v>35240.585754499902</v>
      </c>
      <c r="G29">
        <v>352.40585754499898</v>
      </c>
      <c r="H29">
        <v>0.34967451436433977</v>
      </c>
    </row>
    <row r="30" spans="1:8" x14ac:dyDescent="0.3">
      <c r="A30" s="4" t="s">
        <v>50</v>
      </c>
      <c r="B30" s="4" t="s">
        <v>85</v>
      </c>
      <c r="C30" s="4" t="s">
        <v>179</v>
      </c>
      <c r="D30" s="4">
        <v>78</v>
      </c>
      <c r="E30" s="4">
        <v>3628548.7489999998</v>
      </c>
      <c r="F30" s="5">
        <v>362.85487489999997</v>
      </c>
      <c r="G30" s="5">
        <v>3.6285487489999997</v>
      </c>
      <c r="H30" s="5">
        <v>6.7140875323663399E-3</v>
      </c>
    </row>
    <row r="31" spans="1:8" x14ac:dyDescent="0.3">
      <c r="A31" s="4" t="s">
        <v>50</v>
      </c>
      <c r="B31" s="4" t="s">
        <v>101</v>
      </c>
      <c r="C31" s="4" t="s">
        <v>179</v>
      </c>
      <c r="D31" s="4">
        <v>148</v>
      </c>
      <c r="E31" s="4">
        <v>5501971.6119999904</v>
      </c>
      <c r="F31" s="5">
        <v>550.19716119999907</v>
      </c>
      <c r="G31" s="5">
        <v>5.5019716119999904</v>
      </c>
      <c r="H31" s="5">
        <v>1.018057674262837E-2</v>
      </c>
    </row>
    <row r="32" spans="1:8" x14ac:dyDescent="0.3">
      <c r="A32" s="4" t="s">
        <v>50</v>
      </c>
      <c r="B32" s="4" t="s">
        <v>125</v>
      </c>
      <c r="C32" s="4" t="s">
        <v>179</v>
      </c>
      <c r="D32" s="4">
        <v>166</v>
      </c>
      <c r="E32" s="4">
        <v>5612814.23999999</v>
      </c>
      <c r="F32" s="5">
        <v>561.28142399999899</v>
      </c>
      <c r="G32" s="5">
        <v>5.6128142399999899</v>
      </c>
      <c r="H32" s="5">
        <v>1.0385674471276666E-2</v>
      </c>
    </row>
    <row r="33" spans="1:8" x14ac:dyDescent="0.3">
      <c r="A33" s="4" t="s">
        <v>50</v>
      </c>
      <c r="B33" s="4" t="s">
        <v>129</v>
      </c>
      <c r="C33" s="4" t="s">
        <v>179</v>
      </c>
      <c r="D33" s="4">
        <v>191</v>
      </c>
      <c r="E33" s="4">
        <v>5841495.3829999901</v>
      </c>
      <c r="F33" s="5">
        <v>584.14953829999899</v>
      </c>
      <c r="G33" s="5">
        <v>5.84149538299999</v>
      </c>
      <c r="H33" s="5">
        <v>1.0808814772623514E-2</v>
      </c>
    </row>
    <row r="34" spans="1:8" x14ac:dyDescent="0.3">
      <c r="A34" s="4" t="s">
        <v>50</v>
      </c>
      <c r="B34" s="4" t="s">
        <v>127</v>
      </c>
      <c r="C34" s="4" t="s">
        <v>179</v>
      </c>
      <c r="D34" s="4">
        <v>143</v>
      </c>
      <c r="E34" s="4">
        <v>6735304.5039999997</v>
      </c>
      <c r="F34" s="5">
        <v>673.53045039999995</v>
      </c>
      <c r="G34" s="5">
        <v>6.7353045040000001</v>
      </c>
      <c r="H34" s="5">
        <v>1.246267505968052E-2</v>
      </c>
    </row>
    <row r="35" spans="1:8" x14ac:dyDescent="0.3">
      <c r="A35" s="4" t="s">
        <v>50</v>
      </c>
      <c r="B35" s="4" t="s">
        <v>134</v>
      </c>
      <c r="C35" s="4" t="s">
        <v>179</v>
      </c>
      <c r="D35" s="4">
        <v>21</v>
      </c>
      <c r="E35" s="4">
        <v>6986548.7429999998</v>
      </c>
      <c r="F35" s="5">
        <v>698.65487429999996</v>
      </c>
      <c r="G35" s="5">
        <v>6.9865487430000002</v>
      </c>
      <c r="H35" s="5">
        <v>1.2927565000352713E-2</v>
      </c>
    </row>
    <row r="36" spans="1:8" ht="28.8" x14ac:dyDescent="0.3">
      <c r="A36" s="4" t="s">
        <v>50</v>
      </c>
      <c r="B36" s="4" t="s">
        <v>122</v>
      </c>
      <c r="C36" s="4" t="s">
        <v>179</v>
      </c>
      <c r="D36" s="4">
        <v>121</v>
      </c>
      <c r="E36" s="4">
        <v>7059886.824</v>
      </c>
      <c r="F36" s="5">
        <v>705.98868240000002</v>
      </c>
      <c r="G36" s="5">
        <v>7.0598868240000003</v>
      </c>
      <c r="H36" s="5">
        <v>1.3063266166121941E-2</v>
      </c>
    </row>
    <row r="37" spans="1:8" x14ac:dyDescent="0.3">
      <c r="A37" s="4" t="s">
        <v>50</v>
      </c>
      <c r="B37" s="4" t="s">
        <v>95</v>
      </c>
      <c r="C37" s="4" t="s">
        <v>179</v>
      </c>
      <c r="D37" s="4">
        <v>116</v>
      </c>
      <c r="E37" s="4">
        <v>8466148.6499999892</v>
      </c>
      <c r="F37" s="5">
        <v>846.61486499999887</v>
      </c>
      <c r="G37" s="5">
        <v>8.4661486499999885</v>
      </c>
      <c r="H37" s="5">
        <v>1.5665343648418775E-2</v>
      </c>
    </row>
    <row r="38" spans="1:8" x14ac:dyDescent="0.3">
      <c r="A38" s="4" t="s">
        <v>50</v>
      </c>
      <c r="B38" s="4" t="s">
        <v>132</v>
      </c>
      <c r="C38" s="4" t="s">
        <v>179</v>
      </c>
      <c r="D38" s="4">
        <v>23</v>
      </c>
      <c r="E38" s="4">
        <v>10986673.505999999</v>
      </c>
      <c r="F38" s="5">
        <v>1098.6673506</v>
      </c>
      <c r="G38" s="5">
        <v>10.986673505999999</v>
      </c>
      <c r="H38" s="5">
        <v>2.0329198451348732E-2</v>
      </c>
    </row>
    <row r="39" spans="1:8" x14ac:dyDescent="0.3">
      <c r="A39" s="4" t="s">
        <v>50</v>
      </c>
      <c r="B39" s="4" t="s">
        <v>126</v>
      </c>
      <c r="C39" s="4" t="s">
        <v>179</v>
      </c>
      <c r="D39" s="4">
        <v>243</v>
      </c>
      <c r="E39" s="4">
        <v>12561743.973999901</v>
      </c>
      <c r="F39" s="5">
        <v>1256.1743973999901</v>
      </c>
      <c r="G39" s="5">
        <v>12.561743973999901</v>
      </c>
      <c r="H39" s="5">
        <v>2.324363111391417E-2</v>
      </c>
    </row>
    <row r="40" spans="1:8" x14ac:dyDescent="0.3">
      <c r="A40" s="4" t="s">
        <v>50</v>
      </c>
      <c r="B40" s="4" t="s">
        <v>84</v>
      </c>
      <c r="C40" s="4" t="s">
        <v>179</v>
      </c>
      <c r="D40" s="4">
        <v>178</v>
      </c>
      <c r="E40" s="4">
        <v>14383573.329999899</v>
      </c>
      <c r="F40" s="5">
        <v>1438.3573329999899</v>
      </c>
      <c r="G40" s="5">
        <v>14.3835733299999</v>
      </c>
      <c r="H40" s="5">
        <v>2.6614654245018476E-2</v>
      </c>
    </row>
    <row r="41" spans="1:8" x14ac:dyDescent="0.3">
      <c r="A41" s="4" t="s">
        <v>50</v>
      </c>
      <c r="B41" s="4" t="s">
        <v>123</v>
      </c>
      <c r="C41" s="4" t="s">
        <v>179</v>
      </c>
      <c r="D41" s="4">
        <v>493</v>
      </c>
      <c r="E41" s="4">
        <v>39679893.431000002</v>
      </c>
      <c r="F41" s="5">
        <v>3967.9893431</v>
      </c>
      <c r="G41" s="5">
        <v>39.679893431000004</v>
      </c>
      <c r="H41" s="5">
        <v>7.3421716559305933E-2</v>
      </c>
    </row>
    <row r="42" spans="1:8" x14ac:dyDescent="0.3">
      <c r="A42" s="4" t="s">
        <v>50</v>
      </c>
      <c r="B42" s="4" t="s">
        <v>105</v>
      </c>
      <c r="C42" s="4" t="s">
        <v>179</v>
      </c>
      <c r="D42" s="4">
        <v>338</v>
      </c>
      <c r="E42" s="4">
        <v>49514210.125</v>
      </c>
      <c r="F42" s="5">
        <v>4951.4210125</v>
      </c>
      <c r="G42" s="5">
        <v>49.514210124999998</v>
      </c>
      <c r="H42" s="5">
        <v>9.1618650835777901E-2</v>
      </c>
    </row>
    <row r="43" spans="1:8" x14ac:dyDescent="0.3">
      <c r="A43" s="4" t="s">
        <v>50</v>
      </c>
      <c r="B43" s="4" t="s">
        <v>120</v>
      </c>
      <c r="C43" s="4" t="s">
        <v>179</v>
      </c>
      <c r="D43" s="4">
        <v>448</v>
      </c>
      <c r="E43" s="4">
        <v>58860408.868000001</v>
      </c>
      <c r="F43" s="5">
        <v>5886.0408868000004</v>
      </c>
      <c r="G43" s="5">
        <v>58.860408868</v>
      </c>
      <c r="H43" s="5">
        <v>0.10891239574486532</v>
      </c>
    </row>
    <row r="44" spans="1:8" x14ac:dyDescent="0.3">
      <c r="A44" s="4" t="s">
        <v>50</v>
      </c>
      <c r="B44" s="4" t="s">
        <v>128</v>
      </c>
      <c r="C44" s="4" t="s">
        <v>179</v>
      </c>
      <c r="D44" s="4">
        <v>1253</v>
      </c>
      <c r="E44" s="4">
        <v>77331032.924999997</v>
      </c>
      <c r="F44" s="5">
        <v>7733.1032925</v>
      </c>
      <c r="G44" s="5">
        <v>77.331032925000002</v>
      </c>
      <c r="H44" s="5">
        <v>0.14308952695477578</v>
      </c>
    </row>
    <row r="45" spans="1:8" ht="28.8" x14ac:dyDescent="0.3">
      <c r="A45" s="4" t="s">
        <v>50</v>
      </c>
      <c r="B45" s="4" t="s">
        <v>124</v>
      </c>
      <c r="C45" s="4" t="s">
        <v>179</v>
      </c>
      <c r="D45" s="4">
        <v>861</v>
      </c>
      <c r="E45" s="4">
        <v>98161593.618000001</v>
      </c>
      <c r="F45" s="5">
        <v>9816.1593618000006</v>
      </c>
      <c r="G45" s="5">
        <v>98.161593617999998</v>
      </c>
      <c r="H45" s="5">
        <v>0.18163336845052955</v>
      </c>
    </row>
    <row r="46" spans="1:8" ht="28.8" x14ac:dyDescent="0.3">
      <c r="A46" s="4" t="s">
        <v>50</v>
      </c>
      <c r="B46" s="4" t="s">
        <v>121</v>
      </c>
      <c r="C46" s="4" t="s">
        <v>179</v>
      </c>
      <c r="D46" s="4">
        <v>1175</v>
      </c>
      <c r="E46" s="4">
        <v>123966697.138999</v>
      </c>
      <c r="F46" s="5">
        <v>12396.669713899901</v>
      </c>
      <c r="G46" s="5">
        <v>123.966697138999</v>
      </c>
      <c r="H46" s="5">
        <v>0.22938185849617401</v>
      </c>
    </row>
    <row r="47" spans="1:8" x14ac:dyDescent="0.3">
      <c r="A47" s="1" t="s">
        <v>48</v>
      </c>
      <c r="B47" s="1" t="s">
        <v>71</v>
      </c>
      <c r="C47" s="1" t="s">
        <v>179</v>
      </c>
      <c r="D47" s="1">
        <v>674</v>
      </c>
      <c r="E47" s="1">
        <v>40534648.858000003</v>
      </c>
      <c r="F47">
        <v>4053.4648858000005</v>
      </c>
      <c r="G47">
        <v>40.534648858000004</v>
      </c>
      <c r="H47">
        <v>6.5974246027192991E-3</v>
      </c>
    </row>
    <row r="48" spans="1:8" x14ac:dyDescent="0.3">
      <c r="A48" s="1" t="s">
        <v>48</v>
      </c>
      <c r="B48" s="1" t="s">
        <v>75</v>
      </c>
      <c r="C48" s="1" t="s">
        <v>179</v>
      </c>
      <c r="D48" s="1">
        <v>365</v>
      </c>
      <c r="E48" s="1">
        <v>43971495.531999998</v>
      </c>
      <c r="F48">
        <v>4397.1495531999999</v>
      </c>
      <c r="G48">
        <v>43.971495531999999</v>
      </c>
      <c r="H48">
        <v>7.1568062044263664E-3</v>
      </c>
    </row>
    <row r="49" spans="1:8" x14ac:dyDescent="0.3">
      <c r="A49" s="1" t="s">
        <v>48</v>
      </c>
      <c r="B49" s="1" t="s">
        <v>68</v>
      </c>
      <c r="C49" s="1" t="s">
        <v>179</v>
      </c>
      <c r="D49" s="1">
        <v>961</v>
      </c>
      <c r="E49" s="1">
        <v>44511459.204000004</v>
      </c>
      <c r="F49">
        <v>4451.1459204000003</v>
      </c>
      <c r="G49">
        <v>44.511459204000005</v>
      </c>
      <c r="H49">
        <v>7.2446907603456023E-3</v>
      </c>
    </row>
    <row r="50" spans="1:8" x14ac:dyDescent="0.3">
      <c r="A50" s="1" t="s">
        <v>48</v>
      </c>
      <c r="B50" s="1" t="s">
        <v>66</v>
      </c>
      <c r="C50" s="1" t="s">
        <v>179</v>
      </c>
      <c r="D50" s="1">
        <v>392</v>
      </c>
      <c r="E50" s="1">
        <v>84966866.701999903</v>
      </c>
      <c r="F50">
        <v>8496.6866701999897</v>
      </c>
      <c r="G50">
        <v>84.966866701999905</v>
      </c>
      <c r="H50">
        <v>1.3829218029234551E-2</v>
      </c>
    </row>
    <row r="51" spans="1:8" x14ac:dyDescent="0.3">
      <c r="A51" s="1" t="s">
        <v>48</v>
      </c>
      <c r="B51" s="1" t="s">
        <v>65</v>
      </c>
      <c r="C51" s="1" t="s">
        <v>179</v>
      </c>
      <c r="D51" s="1">
        <v>1529</v>
      </c>
      <c r="E51" s="1">
        <v>110451409.62099899</v>
      </c>
      <c r="F51">
        <v>11045.1409620999</v>
      </c>
      <c r="G51">
        <v>110.45140962099899</v>
      </c>
      <c r="H51">
        <v>1.7977085475474375E-2</v>
      </c>
    </row>
    <row r="52" spans="1:8" x14ac:dyDescent="0.3">
      <c r="A52" s="1" t="s">
        <v>48</v>
      </c>
      <c r="B52" s="1" t="s">
        <v>72</v>
      </c>
      <c r="C52" s="1" t="s">
        <v>179</v>
      </c>
      <c r="D52" s="1">
        <v>592</v>
      </c>
      <c r="E52" s="1">
        <v>129322193.691999</v>
      </c>
      <c r="F52">
        <v>12932.2193691999</v>
      </c>
      <c r="G52">
        <v>129.32219369199899</v>
      </c>
      <c r="H52">
        <v>2.1048496690574802E-2</v>
      </c>
    </row>
    <row r="53" spans="1:8" ht="28.8" x14ac:dyDescent="0.3">
      <c r="A53" s="1" t="s">
        <v>48</v>
      </c>
      <c r="B53" s="1" t="s">
        <v>81</v>
      </c>
      <c r="C53" s="1" t="s">
        <v>179</v>
      </c>
      <c r="D53" s="1">
        <v>922</v>
      </c>
      <c r="E53" s="1">
        <v>133562877.373999</v>
      </c>
      <c r="F53">
        <v>13356.2877373999</v>
      </c>
      <c r="G53">
        <v>133.56287737399899</v>
      </c>
      <c r="H53">
        <v>2.1738710905923934E-2</v>
      </c>
    </row>
    <row r="54" spans="1:8" x14ac:dyDescent="0.3">
      <c r="A54" s="1" t="s">
        <v>48</v>
      </c>
      <c r="B54" s="1" t="s">
        <v>90</v>
      </c>
      <c r="C54" s="1" t="s">
        <v>179</v>
      </c>
      <c r="D54" s="1">
        <v>564</v>
      </c>
      <c r="E54" s="1">
        <v>197317473.72799999</v>
      </c>
      <c r="F54">
        <v>19731.747372799997</v>
      </c>
      <c r="G54">
        <v>197.31747372799998</v>
      </c>
      <c r="H54">
        <v>3.2115417115858462E-2</v>
      </c>
    </row>
    <row r="55" spans="1:8" x14ac:dyDescent="0.3">
      <c r="A55" s="1" t="s">
        <v>48</v>
      </c>
      <c r="B55" s="1" t="s">
        <v>67</v>
      </c>
      <c r="C55" s="1" t="s">
        <v>179</v>
      </c>
      <c r="D55" s="1">
        <v>6226</v>
      </c>
      <c r="E55" s="1">
        <v>292075364.669999</v>
      </c>
      <c r="F55">
        <v>29207.5364669999</v>
      </c>
      <c r="G55">
        <v>292.07536466999898</v>
      </c>
      <c r="H55">
        <v>4.7538223495471495E-2</v>
      </c>
    </row>
    <row r="56" spans="1:8" x14ac:dyDescent="0.3">
      <c r="A56" s="1" t="s">
        <v>48</v>
      </c>
      <c r="B56" s="1" t="s">
        <v>69</v>
      </c>
      <c r="C56" s="1" t="s">
        <v>179</v>
      </c>
      <c r="D56" s="1">
        <v>2077</v>
      </c>
      <c r="E56" s="1">
        <v>461481254.55699998</v>
      </c>
      <c r="F56">
        <v>46148.125455699999</v>
      </c>
      <c r="G56">
        <v>461.481254557</v>
      </c>
      <c r="H56">
        <v>7.5110747675990616E-2</v>
      </c>
    </row>
    <row r="57" spans="1:8" x14ac:dyDescent="0.3">
      <c r="A57" s="1" t="s">
        <v>48</v>
      </c>
      <c r="B57" s="1" t="s">
        <v>79</v>
      </c>
      <c r="C57" s="1" t="s">
        <v>179</v>
      </c>
      <c r="D57" s="1">
        <v>3188</v>
      </c>
      <c r="E57" s="1">
        <v>826783234.64600301</v>
      </c>
      <c r="F57">
        <v>82678.323464600297</v>
      </c>
      <c r="G57">
        <v>826.78323464600305</v>
      </c>
      <c r="H57">
        <v>0.13456734440892645</v>
      </c>
    </row>
    <row r="58" spans="1:8" x14ac:dyDescent="0.3">
      <c r="A58" s="1" t="s">
        <v>48</v>
      </c>
      <c r="B58" s="1" t="s">
        <v>70</v>
      </c>
      <c r="C58" s="1" t="s">
        <v>179</v>
      </c>
      <c r="D58" s="1">
        <v>7926</v>
      </c>
      <c r="E58" s="1">
        <v>3731543278.9260101</v>
      </c>
      <c r="F58">
        <v>373154.32789260102</v>
      </c>
      <c r="G58">
        <v>3731.5432789260103</v>
      </c>
      <c r="H58">
        <v>0.60734645859993752</v>
      </c>
    </row>
    <row r="59" spans="1:8" x14ac:dyDescent="0.3">
      <c r="A59" s="4" t="s">
        <v>43</v>
      </c>
      <c r="B59" s="4" t="s">
        <v>172</v>
      </c>
      <c r="C59" s="4" t="s">
        <v>180</v>
      </c>
      <c r="D59" s="4">
        <v>2</v>
      </c>
      <c r="E59" s="4">
        <v>3652426.6860000002</v>
      </c>
      <c r="F59" s="5">
        <v>365.2426686</v>
      </c>
      <c r="G59" s="5">
        <v>3.6524266860000001</v>
      </c>
      <c r="H59" s="5">
        <v>5.5435914105402394E-3</v>
      </c>
    </row>
    <row r="60" spans="1:8" s="5" customFormat="1" x14ac:dyDescent="0.3">
      <c r="A60" s="4" t="s">
        <v>43</v>
      </c>
      <c r="B60" s="4" t="s">
        <v>168</v>
      </c>
      <c r="C60" s="4" t="s">
        <v>180</v>
      </c>
      <c r="D60" s="4">
        <v>25</v>
      </c>
      <c r="E60" s="4">
        <v>6570155.4800000004</v>
      </c>
      <c r="F60" s="5">
        <v>657.01554800000008</v>
      </c>
      <c r="G60" s="5">
        <v>6.5701554800000004</v>
      </c>
      <c r="H60" s="5">
        <v>9.9720707945900391E-3</v>
      </c>
    </row>
    <row r="61" spans="1:8" s="5" customFormat="1" x14ac:dyDescent="0.3">
      <c r="A61" s="4" t="s">
        <v>43</v>
      </c>
      <c r="B61" s="4" t="s">
        <v>167</v>
      </c>
      <c r="C61" s="4" t="s">
        <v>180</v>
      </c>
      <c r="D61" s="4">
        <v>79</v>
      </c>
      <c r="E61" s="4">
        <v>18402266.006999999</v>
      </c>
      <c r="F61" s="5">
        <v>1840.2266006999998</v>
      </c>
      <c r="G61" s="5">
        <v>18.402266006999998</v>
      </c>
      <c r="H61" s="5">
        <v>2.7930647906475686E-2</v>
      </c>
    </row>
    <row r="62" spans="1:8" s="5" customFormat="1" ht="28.8" x14ac:dyDescent="0.3">
      <c r="A62" s="4" t="s">
        <v>43</v>
      </c>
      <c r="B62" s="4" t="s">
        <v>121</v>
      </c>
      <c r="C62" s="4" t="s">
        <v>179</v>
      </c>
      <c r="D62" s="4">
        <v>7</v>
      </c>
      <c r="E62" s="4">
        <v>27720450.934999999</v>
      </c>
      <c r="F62" s="5">
        <v>2772.0450934999999</v>
      </c>
      <c r="G62" s="5">
        <v>27.720450934999999</v>
      </c>
      <c r="H62" s="5">
        <v>4.2073631289739226E-2</v>
      </c>
    </row>
    <row r="63" spans="1:8" s="5" customFormat="1" x14ac:dyDescent="0.3">
      <c r="A63" s="4" t="s">
        <v>43</v>
      </c>
      <c r="B63" s="4" t="s">
        <v>164</v>
      </c>
      <c r="C63" s="4" t="s">
        <v>180</v>
      </c>
      <c r="D63" s="4">
        <v>444</v>
      </c>
      <c r="E63" s="4">
        <v>68253608.988999993</v>
      </c>
      <c r="F63" s="5">
        <v>6825.3608988999995</v>
      </c>
      <c r="G63" s="5">
        <v>68.253608988999986</v>
      </c>
      <c r="H63" s="5">
        <v>0.1035941726031383</v>
      </c>
    </row>
    <row r="64" spans="1:8" s="5" customFormat="1" ht="28.8" x14ac:dyDescent="0.3">
      <c r="A64" s="4" t="s">
        <v>43</v>
      </c>
      <c r="B64" s="4" t="s">
        <v>122</v>
      </c>
      <c r="C64" s="4" t="s">
        <v>179</v>
      </c>
      <c r="D64" s="4">
        <v>3</v>
      </c>
      <c r="E64" s="4">
        <v>70774415.456</v>
      </c>
      <c r="F64" s="5">
        <v>7077.4415455999997</v>
      </c>
      <c r="G64" s="5">
        <v>70.774415456</v>
      </c>
      <c r="H64" s="5">
        <v>0.10742020999675939</v>
      </c>
    </row>
    <row r="65" spans="1:8" s="5" customFormat="1" x14ac:dyDescent="0.3">
      <c r="A65" s="4" t="s">
        <v>43</v>
      </c>
      <c r="B65" s="4" t="s">
        <v>165</v>
      </c>
      <c r="C65" s="4" t="s">
        <v>180</v>
      </c>
      <c r="D65" s="4">
        <v>443</v>
      </c>
      <c r="E65" s="4">
        <v>175205445.84699899</v>
      </c>
      <c r="F65" s="5">
        <v>17520.544584699899</v>
      </c>
      <c r="G65" s="5">
        <v>175.205445846999</v>
      </c>
      <c r="H65" s="5">
        <v>0.2659238605391398</v>
      </c>
    </row>
    <row r="66" spans="1:8" s="5" customFormat="1" x14ac:dyDescent="0.3">
      <c r="A66" s="4" t="s">
        <v>43</v>
      </c>
      <c r="B66" s="4" t="s">
        <v>166</v>
      </c>
      <c r="C66" s="4" t="s">
        <v>180</v>
      </c>
      <c r="D66" s="4">
        <v>2220</v>
      </c>
      <c r="E66" s="4">
        <v>287372671.72999901</v>
      </c>
      <c r="F66" s="5">
        <v>28737.267172999902</v>
      </c>
      <c r="G66" s="5">
        <v>287.37267172999901</v>
      </c>
      <c r="H66" s="5">
        <v>0.43616937767232772</v>
      </c>
    </row>
    <row r="67" spans="1:8" s="5" customFormat="1" x14ac:dyDescent="0.3">
      <c r="A67" s="1" t="s">
        <v>38</v>
      </c>
      <c r="B67" s="1" t="s">
        <v>101</v>
      </c>
      <c r="C67" s="1" t="s">
        <v>179</v>
      </c>
      <c r="D67" s="1">
        <v>844</v>
      </c>
      <c r="E67" s="1">
        <v>19497416.0459999</v>
      </c>
      <c r="F67">
        <v>1949.7416045999898</v>
      </c>
      <c r="G67">
        <v>19.497416045999898</v>
      </c>
      <c r="H67">
        <v>6.2503872941554635E-3</v>
      </c>
    </row>
    <row r="68" spans="1:8" s="5" customFormat="1" x14ac:dyDescent="0.3">
      <c r="A68" s="1" t="s">
        <v>38</v>
      </c>
      <c r="B68" s="1" t="s">
        <v>76</v>
      </c>
      <c r="C68" s="1" t="s">
        <v>179</v>
      </c>
      <c r="D68" s="1">
        <v>61</v>
      </c>
      <c r="E68" s="1">
        <v>25531112.142000001</v>
      </c>
      <c r="F68">
        <v>2553.1112142000002</v>
      </c>
      <c r="G68">
        <v>25.531112142000001</v>
      </c>
      <c r="H68">
        <v>8.1846403934512368E-3</v>
      </c>
    </row>
    <row r="69" spans="1:8" s="5" customFormat="1" x14ac:dyDescent="0.3">
      <c r="A69" s="1" t="s">
        <v>38</v>
      </c>
      <c r="B69" s="1" t="s">
        <v>154</v>
      </c>
      <c r="C69" s="1" t="s">
        <v>179</v>
      </c>
      <c r="D69" s="1">
        <v>864</v>
      </c>
      <c r="E69" s="1">
        <v>26887272.590999998</v>
      </c>
      <c r="F69">
        <v>2688.7272590999996</v>
      </c>
      <c r="G69">
        <v>26.887272590999999</v>
      </c>
      <c r="H69">
        <v>8.619391748157278E-3</v>
      </c>
    </row>
    <row r="70" spans="1:8" s="5" customFormat="1" x14ac:dyDescent="0.3">
      <c r="A70" s="1" t="s">
        <v>38</v>
      </c>
      <c r="B70" s="1" t="s">
        <v>126</v>
      </c>
      <c r="C70" s="1" t="s">
        <v>179</v>
      </c>
      <c r="D70" s="1">
        <v>1142</v>
      </c>
      <c r="E70" s="1">
        <v>30391245.932999998</v>
      </c>
      <c r="F70">
        <v>3039.1245933</v>
      </c>
      <c r="G70">
        <v>30.391245932999997</v>
      </c>
      <c r="H70">
        <v>9.7426785675094E-3</v>
      </c>
    </row>
    <row r="71" spans="1:8" s="5" customFormat="1" x14ac:dyDescent="0.3">
      <c r="A71" s="1" t="s">
        <v>38</v>
      </c>
      <c r="B71" s="1" t="s">
        <v>132</v>
      </c>
      <c r="C71" s="1" t="s">
        <v>179</v>
      </c>
      <c r="D71" s="1">
        <v>727</v>
      </c>
      <c r="E71" s="1">
        <v>33166248.296999998</v>
      </c>
      <c r="F71">
        <v>3316.6248296999997</v>
      </c>
      <c r="G71">
        <v>33.166248296999996</v>
      </c>
      <c r="H71">
        <v>1.0632275397995841E-2</v>
      </c>
    </row>
    <row r="72" spans="1:8" s="5" customFormat="1" x14ac:dyDescent="0.3">
      <c r="A72" s="1" t="s">
        <v>38</v>
      </c>
      <c r="B72" s="1" t="s">
        <v>172</v>
      </c>
      <c r="C72" s="1" t="s">
        <v>179</v>
      </c>
      <c r="D72" s="1">
        <v>2</v>
      </c>
      <c r="E72" s="1">
        <v>33758549.042999998</v>
      </c>
      <c r="F72">
        <v>3375.8549042999998</v>
      </c>
      <c r="G72">
        <v>33.758549042999995</v>
      </c>
      <c r="H72">
        <v>1.082215230519128E-2</v>
      </c>
    </row>
    <row r="73" spans="1:8" s="5" customFormat="1" ht="28.8" x14ac:dyDescent="0.3">
      <c r="A73" s="1" t="s">
        <v>38</v>
      </c>
      <c r="B73" s="1" t="s">
        <v>153</v>
      </c>
      <c r="C73" s="1" t="s">
        <v>179</v>
      </c>
      <c r="D73" s="1">
        <v>2034</v>
      </c>
      <c r="E73" s="1">
        <v>40778411.957999997</v>
      </c>
      <c r="F73">
        <v>4077.8411957999997</v>
      </c>
      <c r="G73">
        <v>40.778411958</v>
      </c>
      <c r="H73">
        <v>1.3072545991570607E-2</v>
      </c>
    </row>
    <row r="74" spans="1:8" s="5" customFormat="1" x14ac:dyDescent="0.3">
      <c r="A74" s="1" t="s">
        <v>38</v>
      </c>
      <c r="B74" s="1" t="s">
        <v>123</v>
      </c>
      <c r="C74" s="1" t="s">
        <v>179</v>
      </c>
      <c r="D74" s="1">
        <v>2561</v>
      </c>
      <c r="E74" s="1">
        <v>43159161.018999897</v>
      </c>
      <c r="F74">
        <v>4315.9161018999894</v>
      </c>
      <c r="G74">
        <v>43.159161018999896</v>
      </c>
      <c r="H74">
        <v>1.3835755005849154E-2</v>
      </c>
    </row>
    <row r="75" spans="1:8" s="5" customFormat="1" x14ac:dyDescent="0.3">
      <c r="A75" s="1" t="s">
        <v>38</v>
      </c>
      <c r="B75" s="1" t="s">
        <v>136</v>
      </c>
      <c r="C75" s="1" t="s">
        <v>179</v>
      </c>
      <c r="D75" s="1">
        <v>1213</v>
      </c>
      <c r="E75" s="1">
        <v>54365670.188000001</v>
      </c>
      <c r="F75">
        <v>5436.5670188000004</v>
      </c>
      <c r="G75">
        <v>54.365670188000003</v>
      </c>
      <c r="H75">
        <v>1.7428283490469834E-2</v>
      </c>
    </row>
    <row r="76" spans="1:8" s="5" customFormat="1" x14ac:dyDescent="0.3">
      <c r="A76" s="1" t="s">
        <v>38</v>
      </c>
      <c r="B76" s="1" t="s">
        <v>100</v>
      </c>
      <c r="C76" s="1" t="s">
        <v>179</v>
      </c>
      <c r="D76" s="1">
        <v>691</v>
      </c>
      <c r="E76" s="1">
        <v>57691569.108999997</v>
      </c>
      <c r="F76">
        <v>5769.1569109000002</v>
      </c>
      <c r="G76">
        <v>57.691569109</v>
      </c>
      <c r="H76">
        <v>1.8494484073583957E-2</v>
      </c>
    </row>
    <row r="77" spans="1:8" s="5" customFormat="1" x14ac:dyDescent="0.3">
      <c r="A77" s="1" t="s">
        <v>38</v>
      </c>
      <c r="B77" s="1" t="s">
        <v>144</v>
      </c>
      <c r="C77" s="1" t="s">
        <v>179</v>
      </c>
      <c r="D77" s="1">
        <v>1981</v>
      </c>
      <c r="E77" s="1">
        <v>67344269.615999907</v>
      </c>
      <c r="F77">
        <v>6734.426961599991</v>
      </c>
      <c r="G77">
        <v>67.344269615999906</v>
      </c>
      <c r="H77">
        <v>2.1588900095732604E-2</v>
      </c>
    </row>
    <row r="78" spans="1:8" s="5" customFormat="1" x14ac:dyDescent="0.3">
      <c r="A78" s="1" t="s">
        <v>38</v>
      </c>
      <c r="B78" s="1" t="s">
        <v>137</v>
      </c>
      <c r="C78" s="1" t="s">
        <v>179</v>
      </c>
      <c r="D78" s="1">
        <v>3462</v>
      </c>
      <c r="E78" s="1">
        <v>71283616.537999898</v>
      </c>
      <c r="F78">
        <v>7128.3616537999897</v>
      </c>
      <c r="G78">
        <v>71.283616537999904</v>
      </c>
      <c r="H78">
        <v>2.2851756870725142E-2</v>
      </c>
    </row>
    <row r="79" spans="1:8" s="5" customFormat="1" x14ac:dyDescent="0.3">
      <c r="A79" s="1" t="s">
        <v>38</v>
      </c>
      <c r="B79" s="1" t="s">
        <v>150</v>
      </c>
      <c r="C79" s="1" t="s">
        <v>179</v>
      </c>
      <c r="D79" s="1">
        <v>6169</v>
      </c>
      <c r="E79" s="1">
        <v>101745282.623</v>
      </c>
      <c r="F79">
        <v>10174.5282623</v>
      </c>
      <c r="G79">
        <v>101.74528262299999</v>
      </c>
      <c r="H79">
        <v>3.2617010389821739E-2</v>
      </c>
    </row>
    <row r="80" spans="1:8" s="5" customFormat="1" ht="28.8" x14ac:dyDescent="0.3">
      <c r="A80" s="1" t="s">
        <v>38</v>
      </c>
      <c r="B80" s="1" t="s">
        <v>124</v>
      </c>
      <c r="C80" s="1" t="s">
        <v>179</v>
      </c>
      <c r="D80" s="1">
        <v>2990</v>
      </c>
      <c r="E80" s="1">
        <v>122047396.087999</v>
      </c>
      <c r="F80">
        <v>12204.7396087999</v>
      </c>
      <c r="G80">
        <v>122.047396087999</v>
      </c>
      <c r="H80">
        <v>3.912536368888192E-2</v>
      </c>
    </row>
    <row r="81" spans="1:8" s="5" customFormat="1" x14ac:dyDescent="0.3">
      <c r="A81" s="1" t="s">
        <v>38</v>
      </c>
      <c r="B81" s="1" t="s">
        <v>131</v>
      </c>
      <c r="C81" s="1" t="s">
        <v>179</v>
      </c>
      <c r="D81" s="1">
        <v>6199</v>
      </c>
      <c r="E81" s="1">
        <v>130654675.25</v>
      </c>
      <c r="F81">
        <v>13065.467525</v>
      </c>
      <c r="G81">
        <v>130.65467525</v>
      </c>
      <c r="H81">
        <v>4.1884643594716289E-2</v>
      </c>
    </row>
    <row r="82" spans="1:8" s="5" customFormat="1" x14ac:dyDescent="0.3">
      <c r="A82" s="1" t="s">
        <v>38</v>
      </c>
      <c r="B82" s="1" t="s">
        <v>129</v>
      </c>
      <c r="C82" s="1" t="s">
        <v>179</v>
      </c>
      <c r="D82" s="1">
        <v>9309</v>
      </c>
      <c r="E82" s="1">
        <v>202182909.04100001</v>
      </c>
      <c r="F82">
        <v>20218.290904100002</v>
      </c>
      <c r="G82">
        <v>202.18290904100002</v>
      </c>
      <c r="H82">
        <v>6.4814818680782163E-2</v>
      </c>
    </row>
    <row r="83" spans="1:8" s="5" customFormat="1" x14ac:dyDescent="0.3">
      <c r="A83" s="1" t="s">
        <v>38</v>
      </c>
      <c r="B83" s="1" t="s">
        <v>151</v>
      </c>
      <c r="C83" s="1" t="s">
        <v>179</v>
      </c>
      <c r="D83" s="1">
        <v>5594</v>
      </c>
      <c r="E83" s="1">
        <v>242101709.801999</v>
      </c>
      <c r="F83">
        <v>24210.170980199899</v>
      </c>
      <c r="G83">
        <v>242.10170980199899</v>
      </c>
      <c r="H83">
        <v>7.761179467420673E-2</v>
      </c>
    </row>
    <row r="84" spans="1:8" s="5" customFormat="1" ht="28.8" x14ac:dyDescent="0.3">
      <c r="A84" s="1" t="s">
        <v>38</v>
      </c>
      <c r="B84" s="1" t="s">
        <v>122</v>
      </c>
      <c r="C84" s="1" t="s">
        <v>179</v>
      </c>
      <c r="D84" s="1">
        <v>2866</v>
      </c>
      <c r="E84" s="1">
        <v>305167103.037</v>
      </c>
      <c r="F84">
        <v>30516.710303700002</v>
      </c>
      <c r="G84">
        <v>305.167103037</v>
      </c>
      <c r="H84">
        <v>9.7828993283857316E-2</v>
      </c>
    </row>
    <row r="85" spans="1:8" s="5" customFormat="1" ht="28.8" x14ac:dyDescent="0.3">
      <c r="A85" s="1" t="s">
        <v>38</v>
      </c>
      <c r="B85" s="1" t="s">
        <v>121</v>
      </c>
      <c r="C85" s="1" t="s">
        <v>179</v>
      </c>
      <c r="D85" s="1">
        <v>6979</v>
      </c>
      <c r="E85" s="1">
        <v>318867086.51899898</v>
      </c>
      <c r="F85">
        <v>31886.708651899899</v>
      </c>
      <c r="G85">
        <v>318.86708651899897</v>
      </c>
      <c r="H85">
        <v>0.1022208676986003</v>
      </c>
    </row>
    <row r="86" spans="1:8" s="5" customFormat="1" x14ac:dyDescent="0.3">
      <c r="A86" s="1" t="s">
        <v>38</v>
      </c>
      <c r="B86" s="1" t="s">
        <v>125</v>
      </c>
      <c r="C86" s="1" t="s">
        <v>179</v>
      </c>
      <c r="D86" s="1">
        <v>5583</v>
      </c>
      <c r="E86" s="1">
        <v>346574551.85699898</v>
      </c>
      <c r="F86">
        <v>34657.455185699895</v>
      </c>
      <c r="G86">
        <v>346.57455185699899</v>
      </c>
      <c r="H86">
        <v>0.11110319286893579</v>
      </c>
    </row>
    <row r="87" spans="1:8" s="5" customFormat="1" x14ac:dyDescent="0.3">
      <c r="A87" s="1" t="s">
        <v>38</v>
      </c>
      <c r="B87" s="1" t="s">
        <v>105</v>
      </c>
      <c r="C87" s="1" t="s">
        <v>179</v>
      </c>
      <c r="D87" s="1">
        <v>9304</v>
      </c>
      <c r="E87" s="1">
        <v>365141850.063999</v>
      </c>
      <c r="F87">
        <v>36514.185006399901</v>
      </c>
      <c r="G87">
        <v>365.14185006399902</v>
      </c>
      <c r="H87">
        <v>0.1170554074868127</v>
      </c>
    </row>
    <row r="88" spans="1:8" s="5" customFormat="1" x14ac:dyDescent="0.3">
      <c r="A88" s="1" t="s">
        <v>38</v>
      </c>
      <c r="B88" s="1" t="s">
        <v>149</v>
      </c>
      <c r="C88" s="1" t="s">
        <v>179</v>
      </c>
      <c r="D88" s="1">
        <v>980</v>
      </c>
      <c r="E88" s="1">
        <v>425638319.38699901</v>
      </c>
      <c r="F88">
        <v>42563.831938699899</v>
      </c>
      <c r="G88">
        <v>425.638319386999</v>
      </c>
      <c r="H88">
        <v>0.13644907289896979</v>
      </c>
    </row>
    <row r="89" spans="1:8" s="5" customFormat="1" x14ac:dyDescent="0.3">
      <c r="A89" s="4" t="s">
        <v>31</v>
      </c>
      <c r="B89" s="4" t="s">
        <v>66</v>
      </c>
      <c r="C89" s="4" t="s">
        <v>179</v>
      </c>
      <c r="D89" s="4">
        <v>330</v>
      </c>
      <c r="E89" s="4">
        <v>25177540.151000001</v>
      </c>
      <c r="F89" s="5">
        <v>2517.7540150999998</v>
      </c>
      <c r="G89" s="5">
        <v>25.177540151000002</v>
      </c>
      <c r="H89" s="5">
        <v>5.0086921880796286E-3</v>
      </c>
    </row>
    <row r="90" spans="1:8" s="5" customFormat="1" x14ac:dyDescent="0.3">
      <c r="A90" s="4" t="s">
        <v>31</v>
      </c>
      <c r="B90" s="4" t="s">
        <v>71</v>
      </c>
      <c r="C90" s="4" t="s">
        <v>179</v>
      </c>
      <c r="D90" s="4">
        <v>385</v>
      </c>
      <c r="E90" s="4">
        <v>27318678.331999999</v>
      </c>
      <c r="F90" s="5">
        <v>2731.8678332</v>
      </c>
      <c r="G90" s="5">
        <v>27.318678331999998</v>
      </c>
      <c r="H90" s="5">
        <v>5.4346393622855156E-3</v>
      </c>
    </row>
    <row r="91" spans="1:8" s="5" customFormat="1" x14ac:dyDescent="0.3">
      <c r="A91" s="4" t="s">
        <v>31</v>
      </c>
      <c r="B91" s="4" t="s">
        <v>105</v>
      </c>
      <c r="C91" s="4" t="s">
        <v>179</v>
      </c>
      <c r="D91" s="4">
        <v>271</v>
      </c>
      <c r="E91" s="4">
        <v>27803684.9339999</v>
      </c>
      <c r="F91" s="5">
        <v>2780.3684933999898</v>
      </c>
      <c r="G91" s="5">
        <v>27.8036849339999</v>
      </c>
      <c r="H91" s="5">
        <v>5.5311241167148506E-3</v>
      </c>
    </row>
    <row r="92" spans="1:8" s="5" customFormat="1" x14ac:dyDescent="0.3">
      <c r="A92" s="4" t="s">
        <v>31</v>
      </c>
      <c r="B92" s="4" t="s">
        <v>75</v>
      </c>
      <c r="C92" s="4" t="s">
        <v>179</v>
      </c>
      <c r="D92" s="4">
        <v>446</v>
      </c>
      <c r="E92" s="4">
        <v>30807671.649</v>
      </c>
      <c r="F92" s="5">
        <v>3080.7671648999999</v>
      </c>
      <c r="G92" s="5">
        <v>30.807671649</v>
      </c>
      <c r="H92" s="5">
        <v>6.1287220036521251E-3</v>
      </c>
    </row>
    <row r="93" spans="1:8" s="5" customFormat="1" x14ac:dyDescent="0.3">
      <c r="A93" s="4" t="s">
        <v>31</v>
      </c>
      <c r="B93" s="4" t="s">
        <v>91</v>
      </c>
      <c r="C93" s="4" t="s">
        <v>179</v>
      </c>
      <c r="D93" s="4">
        <v>459</v>
      </c>
      <c r="E93" s="4">
        <v>35965566</v>
      </c>
      <c r="F93" s="5">
        <v>3596.5565999999999</v>
      </c>
      <c r="G93" s="5">
        <v>35.965566000000003</v>
      </c>
      <c r="H93" s="5">
        <v>7.1548073554321178E-3</v>
      </c>
    </row>
    <row r="94" spans="1:8" s="5" customFormat="1" x14ac:dyDescent="0.3">
      <c r="A94" s="4" t="s">
        <v>31</v>
      </c>
      <c r="B94" s="4" t="s">
        <v>84</v>
      </c>
      <c r="C94" s="4" t="s">
        <v>179</v>
      </c>
      <c r="D94" s="4">
        <v>314</v>
      </c>
      <c r="E94" s="4">
        <v>44839421.387000002</v>
      </c>
      <c r="F94" s="5">
        <v>4483.9421387000002</v>
      </c>
      <c r="G94" s="5">
        <v>44.839421387000002</v>
      </c>
      <c r="H94" s="5">
        <v>8.9201271558753681E-3</v>
      </c>
    </row>
    <row r="95" spans="1:8" s="5" customFormat="1" x14ac:dyDescent="0.3">
      <c r="A95" s="4" t="s">
        <v>31</v>
      </c>
      <c r="B95" s="4" t="s">
        <v>113</v>
      </c>
      <c r="C95" s="4" t="s">
        <v>179</v>
      </c>
      <c r="D95" s="4">
        <v>521</v>
      </c>
      <c r="E95" s="4">
        <v>44969850.278999902</v>
      </c>
      <c r="F95" s="5">
        <v>4496.9850278999902</v>
      </c>
      <c r="G95" s="5">
        <v>44.9698502789999</v>
      </c>
      <c r="H95" s="5">
        <v>8.9460740183782902E-3</v>
      </c>
    </row>
    <row r="96" spans="1:8" s="5" customFormat="1" x14ac:dyDescent="0.3">
      <c r="A96" s="4" t="s">
        <v>31</v>
      </c>
      <c r="B96" s="4" t="s">
        <v>110</v>
      </c>
      <c r="C96" s="4" t="s">
        <v>179</v>
      </c>
      <c r="D96" s="4">
        <v>445</v>
      </c>
      <c r="E96" s="4">
        <v>45769616.424999997</v>
      </c>
      <c r="F96" s="5">
        <v>4576.9616424999995</v>
      </c>
      <c r="G96" s="5">
        <v>45.769616424999995</v>
      </c>
      <c r="H96" s="5">
        <v>9.1051754406672389E-3</v>
      </c>
    </row>
    <row r="97" spans="1:8" s="5" customFormat="1" x14ac:dyDescent="0.3">
      <c r="A97" s="4" t="s">
        <v>31</v>
      </c>
      <c r="B97" s="4" t="s">
        <v>103</v>
      </c>
      <c r="C97" s="4" t="s">
        <v>179</v>
      </c>
      <c r="D97" s="4">
        <v>708</v>
      </c>
      <c r="E97" s="4">
        <v>67136482.151999906</v>
      </c>
      <c r="F97" s="5">
        <v>6713.6482151999908</v>
      </c>
      <c r="G97" s="5">
        <v>67.1364821519999</v>
      </c>
      <c r="H97" s="5">
        <v>1.3355791378869612E-2</v>
      </c>
    </row>
    <row r="98" spans="1:8" s="5" customFormat="1" x14ac:dyDescent="0.3">
      <c r="A98" s="4" t="s">
        <v>31</v>
      </c>
      <c r="B98" s="4" t="s">
        <v>101</v>
      </c>
      <c r="C98" s="4" t="s">
        <v>179</v>
      </c>
      <c r="D98" s="4">
        <v>739</v>
      </c>
      <c r="E98" s="4">
        <v>68224307.628999993</v>
      </c>
      <c r="F98" s="5">
        <v>6822.4307628999995</v>
      </c>
      <c r="G98" s="5">
        <v>68.224307628999995</v>
      </c>
      <c r="H98" s="5">
        <v>1.3572197864013393E-2</v>
      </c>
    </row>
    <row r="99" spans="1:8" s="5" customFormat="1" x14ac:dyDescent="0.3">
      <c r="A99" s="4" t="s">
        <v>31</v>
      </c>
      <c r="B99" s="4" t="s">
        <v>78</v>
      </c>
      <c r="C99" s="4" t="s">
        <v>179</v>
      </c>
      <c r="D99" s="4">
        <v>660</v>
      </c>
      <c r="E99" s="4">
        <v>70254083.919999897</v>
      </c>
      <c r="F99" s="5">
        <v>7025.4083919999894</v>
      </c>
      <c r="G99" s="5">
        <v>70.2540839199999</v>
      </c>
      <c r="H99" s="5">
        <v>1.397599126842493E-2</v>
      </c>
    </row>
    <row r="100" spans="1:8" s="5" customFormat="1" x14ac:dyDescent="0.3">
      <c r="A100" s="4" t="s">
        <v>31</v>
      </c>
      <c r="B100" s="4" t="s">
        <v>112</v>
      </c>
      <c r="C100" s="4" t="s">
        <v>179</v>
      </c>
      <c r="D100" s="4">
        <v>1284</v>
      </c>
      <c r="E100" s="4">
        <v>115126918.603999</v>
      </c>
      <c r="F100" s="5">
        <v>11512.6918603999</v>
      </c>
      <c r="G100" s="5">
        <v>115.126918603999</v>
      </c>
      <c r="H100" s="5">
        <v>2.2902765496200638E-2</v>
      </c>
    </row>
    <row r="101" spans="1:8" s="5" customFormat="1" x14ac:dyDescent="0.3">
      <c r="A101" s="4" t="s">
        <v>31</v>
      </c>
      <c r="B101" s="4" t="s">
        <v>111</v>
      </c>
      <c r="C101" s="4" t="s">
        <v>179</v>
      </c>
      <c r="D101" s="4">
        <v>1242</v>
      </c>
      <c r="E101" s="4">
        <v>132933645.81099901</v>
      </c>
      <c r="F101" s="5">
        <v>13293.364581099901</v>
      </c>
      <c r="G101" s="5">
        <v>132.933645810999</v>
      </c>
      <c r="H101" s="5">
        <v>2.6445145527056176E-2</v>
      </c>
    </row>
    <row r="102" spans="1:8" s="5" customFormat="1" x14ac:dyDescent="0.3">
      <c r="A102" s="4" t="s">
        <v>31</v>
      </c>
      <c r="B102" s="4" t="s">
        <v>72</v>
      </c>
      <c r="C102" s="4" t="s">
        <v>179</v>
      </c>
      <c r="D102" s="4">
        <v>1643</v>
      </c>
      <c r="E102" s="4">
        <v>149292294.31099901</v>
      </c>
      <c r="F102" s="5">
        <v>14929.2294310999</v>
      </c>
      <c r="G102" s="5">
        <v>149.29229431099901</v>
      </c>
      <c r="H102" s="5">
        <v>2.9699452121667493E-2</v>
      </c>
    </row>
    <row r="103" spans="1:8" s="5" customFormat="1" x14ac:dyDescent="0.3">
      <c r="A103" s="4" t="s">
        <v>31</v>
      </c>
      <c r="B103" s="4" t="s">
        <v>65</v>
      </c>
      <c r="C103" s="4" t="s">
        <v>179</v>
      </c>
      <c r="D103" s="4">
        <v>1401</v>
      </c>
      <c r="E103" s="4">
        <v>152610044.82800001</v>
      </c>
      <c r="F103" s="5">
        <v>15261.004482800001</v>
      </c>
      <c r="G103" s="5">
        <v>152.61004482800001</v>
      </c>
      <c r="H103" s="5">
        <v>3.0359468588599434E-2</v>
      </c>
    </row>
    <row r="104" spans="1:8" s="5" customFormat="1" x14ac:dyDescent="0.3">
      <c r="A104" s="4" t="s">
        <v>31</v>
      </c>
      <c r="B104" s="4" t="s">
        <v>73</v>
      </c>
      <c r="C104" s="4" t="s">
        <v>179</v>
      </c>
      <c r="D104" s="4">
        <v>902</v>
      </c>
      <c r="E104" s="4">
        <v>195340074.23899901</v>
      </c>
      <c r="F104" s="5">
        <v>19534.0074238999</v>
      </c>
      <c r="G104" s="5">
        <v>195.34007423899902</v>
      </c>
      <c r="H104" s="5">
        <v>3.8859963999338873E-2</v>
      </c>
    </row>
    <row r="105" spans="1:8" ht="28.8" x14ac:dyDescent="0.3">
      <c r="A105" s="4" t="s">
        <v>31</v>
      </c>
      <c r="B105" s="4" t="s">
        <v>81</v>
      </c>
      <c r="C105" s="4" t="s">
        <v>179</v>
      </c>
      <c r="D105" s="4">
        <v>3865</v>
      </c>
      <c r="E105" s="4">
        <v>278375168.18800002</v>
      </c>
      <c r="F105" s="5">
        <v>27837.516818800003</v>
      </c>
      <c r="G105" s="5">
        <v>278.37516818800003</v>
      </c>
      <c r="H105" s="5">
        <v>5.5378544603500904E-2</v>
      </c>
    </row>
    <row r="106" spans="1:8" x14ac:dyDescent="0.3">
      <c r="A106" s="4" t="s">
        <v>31</v>
      </c>
      <c r="B106" s="4" t="s">
        <v>114</v>
      </c>
      <c r="C106" s="4" t="s">
        <v>179</v>
      </c>
      <c r="D106" s="4">
        <v>3456</v>
      </c>
      <c r="E106" s="4">
        <v>297711187.09799802</v>
      </c>
      <c r="F106" s="5">
        <v>29771.118709799801</v>
      </c>
      <c r="G106" s="5">
        <v>297.71118709799805</v>
      </c>
      <c r="H106" s="5">
        <v>5.9225154172276445E-2</v>
      </c>
    </row>
    <row r="107" spans="1:8" x14ac:dyDescent="0.3">
      <c r="A107" s="4" t="s">
        <v>31</v>
      </c>
      <c r="B107" s="4" t="s">
        <v>98</v>
      </c>
      <c r="C107" s="4" t="s">
        <v>179</v>
      </c>
      <c r="D107" s="4">
        <v>3318</v>
      </c>
      <c r="E107" s="4">
        <v>380260471.27399999</v>
      </c>
      <c r="F107" s="5">
        <v>38026.047127400001</v>
      </c>
      <c r="G107" s="5">
        <v>380.260471274</v>
      </c>
      <c r="H107" s="5">
        <v>7.5647090243242621E-2</v>
      </c>
    </row>
    <row r="108" spans="1:8" x14ac:dyDescent="0.3">
      <c r="A108" s="4" t="s">
        <v>31</v>
      </c>
      <c r="B108" s="4" t="s">
        <v>93</v>
      </c>
      <c r="C108" s="4" t="s">
        <v>179</v>
      </c>
      <c r="D108" s="4">
        <v>3712</v>
      </c>
      <c r="E108" s="4">
        <v>382918054.35399902</v>
      </c>
      <c r="F108" s="5">
        <v>38291.805435399903</v>
      </c>
      <c r="G108" s="5">
        <v>382.91805435399903</v>
      </c>
      <c r="H108" s="5">
        <v>7.6175776347291405E-2</v>
      </c>
    </row>
    <row r="109" spans="1:8" ht="28.8" x14ac:dyDescent="0.3">
      <c r="A109" s="4" t="s">
        <v>31</v>
      </c>
      <c r="B109" s="4" t="s">
        <v>97</v>
      </c>
      <c r="C109" s="4" t="s">
        <v>179</v>
      </c>
      <c r="D109" s="4">
        <v>4113</v>
      </c>
      <c r="E109" s="4">
        <v>412610485.21200001</v>
      </c>
      <c r="F109" s="5">
        <v>41261.048521199999</v>
      </c>
      <c r="G109" s="5">
        <v>412.61048521200001</v>
      </c>
      <c r="H109" s="5">
        <v>8.2082638002227828E-2</v>
      </c>
    </row>
    <row r="110" spans="1:8" x14ac:dyDescent="0.3">
      <c r="A110" s="4" t="s">
        <v>31</v>
      </c>
      <c r="B110" s="4" t="s">
        <v>74</v>
      </c>
      <c r="C110" s="4" t="s">
        <v>179</v>
      </c>
      <c r="D110" s="4">
        <v>3873</v>
      </c>
      <c r="E110" s="4">
        <v>566249739.60200095</v>
      </c>
      <c r="F110" s="5">
        <v>56624.973960200092</v>
      </c>
      <c r="G110" s="5">
        <v>566.249739602001</v>
      </c>
      <c r="H110" s="5">
        <v>0.11264685232302248</v>
      </c>
    </row>
    <row r="111" spans="1:8" x14ac:dyDescent="0.3">
      <c r="A111" s="4" t="s">
        <v>31</v>
      </c>
      <c r="B111" s="4" t="s">
        <v>90</v>
      </c>
      <c r="C111" s="4" t="s">
        <v>179</v>
      </c>
      <c r="D111" s="4">
        <v>4954</v>
      </c>
      <c r="E111" s="4">
        <v>685694328.57900095</v>
      </c>
      <c r="F111" s="5">
        <v>68569.432857900101</v>
      </c>
      <c r="G111" s="5">
        <v>685.69432857900097</v>
      </c>
      <c r="H111" s="5">
        <v>0.13640855327273657</v>
      </c>
    </row>
    <row r="112" spans="1:8" x14ac:dyDescent="0.3">
      <c r="A112" s="4" t="s">
        <v>31</v>
      </c>
      <c r="B112" s="4" t="s">
        <v>95</v>
      </c>
      <c r="C112" s="4" t="s">
        <v>179</v>
      </c>
      <c r="D112" s="4">
        <v>1443</v>
      </c>
      <c r="E112" s="4">
        <v>685933443.30599999</v>
      </c>
      <c r="F112" s="5">
        <v>68593.344330599997</v>
      </c>
      <c r="G112" s="5">
        <v>685.93344330599996</v>
      </c>
      <c r="H112" s="5">
        <v>0.13645612154421952</v>
      </c>
    </row>
    <row r="113" spans="1:8" x14ac:dyDescent="0.3">
      <c r="A113" s="1" t="s">
        <v>30</v>
      </c>
      <c r="B113" s="1" t="s">
        <v>114</v>
      </c>
      <c r="C113" s="1" t="s">
        <v>179</v>
      </c>
      <c r="D113" s="1">
        <v>5</v>
      </c>
      <c r="E113" s="1">
        <v>8581080.2190000005</v>
      </c>
      <c r="F113">
        <v>858.10802190000004</v>
      </c>
      <c r="G113">
        <v>8.5810802190000004</v>
      </c>
      <c r="H113">
        <v>5.3542635400697126E-3</v>
      </c>
    </row>
    <row r="114" spans="1:8" x14ac:dyDescent="0.3">
      <c r="A114" s="1" t="s">
        <v>30</v>
      </c>
      <c r="B114" s="1" t="s">
        <v>113</v>
      </c>
      <c r="C114" s="1" t="s">
        <v>179</v>
      </c>
      <c r="D114" s="1">
        <v>6</v>
      </c>
      <c r="E114" s="1">
        <v>28335690.960999999</v>
      </c>
      <c r="F114">
        <v>2833.5690961</v>
      </c>
      <c r="G114">
        <v>28.335690961000001</v>
      </c>
      <c r="H114">
        <v>1.7680379756762791E-2</v>
      </c>
    </row>
    <row r="115" spans="1:8" s="5" customFormat="1" x14ac:dyDescent="0.3">
      <c r="A115" s="1" t="s">
        <v>30</v>
      </c>
      <c r="B115" s="1" t="s">
        <v>65</v>
      </c>
      <c r="C115" s="1" t="s">
        <v>179</v>
      </c>
      <c r="D115" s="1">
        <v>5</v>
      </c>
      <c r="E115" s="1">
        <v>32005787.508999899</v>
      </c>
      <c r="F115">
        <v>3200.5787508999897</v>
      </c>
      <c r="G115">
        <v>32.005787508999902</v>
      </c>
      <c r="H115">
        <v>1.9970378641982579E-2</v>
      </c>
    </row>
    <row r="116" spans="1:8" x14ac:dyDescent="0.3">
      <c r="A116" s="1" t="s">
        <v>30</v>
      </c>
      <c r="B116" s="1" t="s">
        <v>174</v>
      </c>
      <c r="C116" s="1" t="s">
        <v>179</v>
      </c>
      <c r="D116" s="1">
        <v>11</v>
      </c>
      <c r="E116" s="1">
        <v>158785127.14399999</v>
      </c>
      <c r="F116">
        <v>15878.5127144</v>
      </c>
      <c r="G116">
        <v>158.785127144</v>
      </c>
      <c r="H116">
        <v>9.9075803427406794E-2</v>
      </c>
    </row>
    <row r="117" spans="1:8" x14ac:dyDescent="0.3">
      <c r="A117" s="1" t="s">
        <v>30</v>
      </c>
      <c r="B117" s="1" t="s">
        <v>108</v>
      </c>
      <c r="C117" s="1" t="s">
        <v>179</v>
      </c>
      <c r="D117" s="1">
        <v>4</v>
      </c>
      <c r="E117" s="1">
        <v>183142644.15700001</v>
      </c>
      <c r="F117">
        <v>18314.2644157</v>
      </c>
      <c r="G117">
        <v>183.14264415700001</v>
      </c>
      <c r="H117">
        <v>0.11427395586753535</v>
      </c>
    </row>
    <row r="118" spans="1:8" ht="28.8" x14ac:dyDescent="0.3">
      <c r="A118" s="1" t="s">
        <v>30</v>
      </c>
      <c r="B118" s="1" t="s">
        <v>173</v>
      </c>
      <c r="C118" s="1" t="s">
        <v>179</v>
      </c>
      <c r="D118" s="1">
        <v>8</v>
      </c>
      <c r="E118" s="1">
        <v>337204718.83399999</v>
      </c>
      <c r="F118">
        <v>33720.471883400001</v>
      </c>
      <c r="G118">
        <v>337.204718834</v>
      </c>
      <c r="H118">
        <v>0.21040275647286136</v>
      </c>
    </row>
    <row r="119" spans="1:8" x14ac:dyDescent="0.3">
      <c r="A119" s="1" t="s">
        <v>30</v>
      </c>
      <c r="B119" s="1" t="s">
        <v>127</v>
      </c>
      <c r="C119" s="1" t="s">
        <v>179</v>
      </c>
      <c r="D119" s="1">
        <v>11</v>
      </c>
      <c r="E119" s="1">
        <v>850085131.19700003</v>
      </c>
      <c r="F119">
        <v>85008.513119700001</v>
      </c>
      <c r="G119">
        <v>850.08513119700001</v>
      </c>
      <c r="H119">
        <v>0.53042037922515728</v>
      </c>
    </row>
    <row r="120" spans="1:8" x14ac:dyDescent="0.3">
      <c r="A120" s="4" t="s">
        <v>12</v>
      </c>
      <c r="B120" s="4"/>
      <c r="C120" s="4" t="s">
        <v>181</v>
      </c>
      <c r="D120" s="4">
        <v>11356</v>
      </c>
      <c r="E120" s="4">
        <v>94088528.897999898</v>
      </c>
      <c r="F120" s="5">
        <v>9408.8528897999895</v>
      </c>
      <c r="G120" s="5">
        <v>94.088528897999893</v>
      </c>
      <c r="H120" s="5">
        <v>1</v>
      </c>
    </row>
    <row r="121" spans="1:8" ht="28.8" x14ac:dyDescent="0.3">
      <c r="A121" s="1" t="s">
        <v>4</v>
      </c>
      <c r="B121" s="1" t="s">
        <v>173</v>
      </c>
      <c r="C121" s="1" t="s">
        <v>179</v>
      </c>
      <c r="D121" s="1">
        <v>3</v>
      </c>
      <c r="E121" s="1">
        <v>6630164.0130000003</v>
      </c>
      <c r="F121">
        <v>663.01640129999998</v>
      </c>
      <c r="G121">
        <v>6.6301640129999999</v>
      </c>
      <c r="H121">
        <v>1.0306227559648017E-2</v>
      </c>
    </row>
    <row r="122" spans="1:8" x14ac:dyDescent="0.3">
      <c r="A122" s="1" t="s">
        <v>4</v>
      </c>
      <c r="B122" s="1" t="s">
        <v>114</v>
      </c>
      <c r="C122" s="1" t="s">
        <v>179</v>
      </c>
      <c r="D122" s="1">
        <v>5</v>
      </c>
      <c r="E122" s="1">
        <v>10745268.308</v>
      </c>
      <c r="F122">
        <v>1074.5268308</v>
      </c>
      <c r="G122">
        <v>10.745268308</v>
      </c>
      <c r="H122">
        <v>1.670293225847564E-2</v>
      </c>
    </row>
    <row r="123" spans="1:8" x14ac:dyDescent="0.3">
      <c r="A123" s="1" t="s">
        <v>4</v>
      </c>
      <c r="B123" s="1" t="s">
        <v>65</v>
      </c>
      <c r="C123" s="1" t="s">
        <v>179</v>
      </c>
      <c r="D123" s="1">
        <v>2</v>
      </c>
      <c r="E123" s="1">
        <v>20175138.897</v>
      </c>
      <c r="F123">
        <v>2017.5138896999999</v>
      </c>
      <c r="G123">
        <v>20.175138897</v>
      </c>
      <c r="H123">
        <v>3.1361150661174161E-2</v>
      </c>
    </row>
    <row r="124" spans="1:8" x14ac:dyDescent="0.3">
      <c r="A124" s="1" t="s">
        <v>4</v>
      </c>
      <c r="B124" s="1" t="s">
        <v>174</v>
      </c>
      <c r="C124" s="1" t="s">
        <v>179</v>
      </c>
      <c r="D124" s="1">
        <v>3</v>
      </c>
      <c r="E124" s="1">
        <v>40040804.751999997</v>
      </c>
      <c r="F124">
        <v>4004.0804751999995</v>
      </c>
      <c r="G124">
        <v>40.040804752</v>
      </c>
      <c r="H124">
        <v>6.2241242394066192E-2</v>
      </c>
    </row>
    <row r="125" spans="1:8" x14ac:dyDescent="0.3">
      <c r="A125" s="1" t="s">
        <v>4</v>
      </c>
      <c r="B125" s="1" t="s">
        <v>113</v>
      </c>
      <c r="C125" s="1" t="s">
        <v>179</v>
      </c>
      <c r="D125" s="1">
        <v>7</v>
      </c>
      <c r="E125" s="1">
        <v>560369973.61500001</v>
      </c>
      <c r="F125">
        <v>56036.997361499998</v>
      </c>
      <c r="G125">
        <v>560.36997361500005</v>
      </c>
      <c r="H125">
        <v>0.87106449468615055</v>
      </c>
    </row>
    <row r="127" spans="1:8" ht="28.8" x14ac:dyDescent="0.3">
      <c r="A127" s="1" t="s">
        <v>183</v>
      </c>
      <c r="B127" s="1"/>
      <c r="C127" s="1" t="s">
        <v>64</v>
      </c>
      <c r="D127" s="1" t="s">
        <v>2</v>
      </c>
      <c r="E127" s="1" t="s">
        <v>184</v>
      </c>
    </row>
    <row r="128" spans="1:8" ht="57.6" x14ac:dyDescent="0.3">
      <c r="A128" s="1" t="s">
        <v>186</v>
      </c>
      <c r="B128" s="1" t="s">
        <v>181</v>
      </c>
      <c r="C128" s="1" t="s">
        <v>51</v>
      </c>
      <c r="D128" s="1">
        <v>6456</v>
      </c>
      <c r="E128" s="1">
        <v>46240724.409000099</v>
      </c>
    </row>
    <row r="129" spans="1:5" ht="57.6" x14ac:dyDescent="0.3">
      <c r="A129" s="1" t="s">
        <v>185</v>
      </c>
      <c r="B129" s="1" t="s">
        <v>181</v>
      </c>
      <c r="C129" s="1" t="s">
        <v>51</v>
      </c>
      <c r="D129" s="1">
        <v>1838</v>
      </c>
      <c r="E129" s="1">
        <v>1589921.5009999899</v>
      </c>
    </row>
    <row r="130" spans="1:5" x14ac:dyDescent="0.3">
      <c r="A130" s="1" t="s">
        <v>186</v>
      </c>
      <c r="B130" s="1" t="s">
        <v>181</v>
      </c>
      <c r="C130" s="1" t="s">
        <v>12</v>
      </c>
      <c r="D130" s="1">
        <v>7930</v>
      </c>
      <c r="E130" s="1">
        <v>90936348.899000004</v>
      </c>
    </row>
    <row r="131" spans="1:5" x14ac:dyDescent="0.3">
      <c r="A131" s="1" t="s">
        <v>185</v>
      </c>
      <c r="B131" s="1" t="s">
        <v>181</v>
      </c>
      <c r="C131" s="1" t="s">
        <v>12</v>
      </c>
      <c r="D131" s="1">
        <v>3426</v>
      </c>
      <c r="E131" s="1">
        <v>3152179.9989999998</v>
      </c>
    </row>
  </sheetData>
  <sortState xmlns:xlrd2="http://schemas.microsoft.com/office/spreadsheetml/2017/richdata2" ref="A2:H241">
    <sortCondition ref="A2:A241"/>
  </sortState>
  <conditionalFormatting sqref="H1:H1048576">
    <cfRule type="cellIs" dxfId="13" priority="1" operator="greaterThan">
      <formula>0.05</formula>
    </cfRule>
    <cfRule type="cellIs" dxfId="12" priority="2" operator="greaterThan">
      <formula>0.01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0B13-89A6-4821-9D83-82CBE5D2306C}">
  <dimension ref="A1:X57"/>
  <sheetViews>
    <sheetView topLeftCell="B1" workbookViewId="0">
      <selection activeCell="G1" sqref="G1:G1048576"/>
    </sheetView>
  </sheetViews>
  <sheetFormatPr defaultRowHeight="14.4" x14ac:dyDescent="0.3"/>
  <cols>
    <col min="1" max="1" width="23.33203125" customWidth="1"/>
    <col min="2" max="2" width="130" customWidth="1"/>
    <col min="4" max="7" width="11.5546875" bestFit="1" customWidth="1"/>
  </cols>
  <sheetData>
    <row r="1" spans="1:24" ht="16.2" customHeight="1" x14ac:dyDescent="0.3">
      <c r="A1" s="1" t="s">
        <v>64</v>
      </c>
      <c r="B1" s="1" t="s">
        <v>202</v>
      </c>
      <c r="C1" s="1" t="s">
        <v>178</v>
      </c>
      <c r="D1" s="1" t="s">
        <v>54</v>
      </c>
      <c r="E1" s="2" t="s">
        <v>55</v>
      </c>
      <c r="F1" s="2" t="s">
        <v>176</v>
      </c>
      <c r="G1" s="2" t="s">
        <v>56</v>
      </c>
      <c r="H1" s="10" t="s">
        <v>201</v>
      </c>
    </row>
    <row r="2" spans="1:24" s="5" customFormat="1" x14ac:dyDescent="0.3">
      <c r="A2" s="4" t="s">
        <v>53</v>
      </c>
      <c r="B2" s="4" t="s">
        <v>192</v>
      </c>
      <c r="C2" s="6" t="s">
        <v>179</v>
      </c>
      <c r="D2" s="4">
        <v>49333431.727999903</v>
      </c>
      <c r="E2" s="5">
        <v>4933.3431727999905</v>
      </c>
      <c r="F2" s="5">
        <v>49.333431727999901</v>
      </c>
      <c r="G2" s="5">
        <v>7.9070468806225636E-3</v>
      </c>
      <c r="H2" s="5">
        <v>1.9130294527982723E-2</v>
      </c>
    </row>
    <row r="3" spans="1:24" s="5" customFormat="1" x14ac:dyDescent="0.3">
      <c r="A3" s="4" t="s">
        <v>53</v>
      </c>
      <c r="B3" s="4" t="s">
        <v>189</v>
      </c>
      <c r="C3" s="6" t="s">
        <v>179</v>
      </c>
      <c r="D3" s="4">
        <v>114257183.324</v>
      </c>
      <c r="E3" s="14">
        <v>11425.7183324</v>
      </c>
      <c r="F3" s="14">
        <v>114.257183324</v>
      </c>
      <c r="G3" s="14">
        <v>1.8312873711519968E-2</v>
      </c>
      <c r="H3" s="5">
        <v>4.4306132623757218E-2</v>
      </c>
    </row>
    <row r="4" spans="1:24" s="5" customFormat="1" x14ac:dyDescent="0.3">
      <c r="A4" s="4" t="s">
        <v>53</v>
      </c>
      <c r="B4" s="4" t="s">
        <v>188</v>
      </c>
      <c r="C4" s="4" t="s">
        <v>179</v>
      </c>
      <c r="D4" s="4">
        <v>196102241.01899999</v>
      </c>
      <c r="E4" s="12">
        <v>19610.224101899999</v>
      </c>
      <c r="F4" s="12">
        <v>196.10224101899999</v>
      </c>
      <c r="G4" s="12">
        <v>3.143080784814567E-2</v>
      </c>
      <c r="H4" s="5">
        <v>7.6043638094645455E-2</v>
      </c>
    </row>
    <row r="5" spans="1:24" s="9" customFormat="1" x14ac:dyDescent="0.3">
      <c r="A5" s="4" t="s">
        <v>53</v>
      </c>
      <c r="B5" s="4" t="s">
        <v>187</v>
      </c>
      <c r="C5" s="4" t="s">
        <v>179</v>
      </c>
      <c r="D5" s="4">
        <v>657984252.98699999</v>
      </c>
      <c r="E5" s="4">
        <v>65798.425298699993</v>
      </c>
      <c r="F5" s="4">
        <v>657.98425298699999</v>
      </c>
      <c r="G5" s="4">
        <v>0.10546017483163961</v>
      </c>
      <c r="H5" s="5">
        <v>0.25515015099328325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" customHeight="1" x14ac:dyDescent="0.3">
      <c r="A6" s="4" t="s">
        <v>53</v>
      </c>
      <c r="B6" s="4" t="s">
        <v>193</v>
      </c>
      <c r="C6" s="4" t="s">
        <v>179</v>
      </c>
      <c r="D6" s="4">
        <v>1561134819.6259899</v>
      </c>
      <c r="E6" s="5">
        <v>156113.48196259901</v>
      </c>
      <c r="F6" s="5">
        <v>1561.1348196259898</v>
      </c>
      <c r="G6" s="5">
        <v>0.25021503214723567</v>
      </c>
      <c r="H6" s="5">
        <v>0.60536978376033124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customHeight="1" x14ac:dyDescent="0.3">
      <c r="A7" s="7" t="s">
        <v>51</v>
      </c>
      <c r="B7" s="7" t="s">
        <v>185</v>
      </c>
      <c r="C7" s="7" t="s">
        <v>181</v>
      </c>
      <c r="D7" s="7">
        <v>10301807.743999992</v>
      </c>
      <c r="E7" s="7">
        <v>1030.1807743999989</v>
      </c>
      <c r="F7" s="7">
        <v>10.301807743999991</v>
      </c>
      <c r="G7" s="7">
        <v>1.0221962952185077E-2</v>
      </c>
      <c r="H7" s="9">
        <v>1.2913980951528164E-2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" customHeight="1" x14ac:dyDescent="0.3">
      <c r="A8" s="1" t="s">
        <v>51</v>
      </c>
      <c r="B8" s="1" t="s">
        <v>168</v>
      </c>
      <c r="C8" s="7" t="s">
        <v>180</v>
      </c>
      <c r="D8" s="1">
        <v>42313304.167000003</v>
      </c>
      <c r="E8" s="15">
        <v>4231.3304167000006</v>
      </c>
      <c r="F8" s="15">
        <v>42.313304167000005</v>
      </c>
      <c r="G8" s="15">
        <v>4.1985352311736251E-2</v>
      </c>
      <c r="H8" s="9">
        <v>5.3042457944054579E-2</v>
      </c>
    </row>
    <row r="9" spans="1:24" ht="15" customHeight="1" x14ac:dyDescent="0.3">
      <c r="A9" s="1" t="s">
        <v>51</v>
      </c>
      <c r="B9" s="1" t="s">
        <v>186</v>
      </c>
      <c r="C9" s="1" t="s">
        <v>181</v>
      </c>
      <c r="D9" s="1">
        <v>63229078.183000103</v>
      </c>
      <c r="E9" s="1">
        <v>6322.9078183000092</v>
      </c>
      <c r="F9" s="1">
        <v>63.229078183000098</v>
      </c>
      <c r="G9" s="1">
        <v>6.2739017340318295E-2</v>
      </c>
      <c r="H9" s="9">
        <v>7.9261730710662837E-2</v>
      </c>
    </row>
    <row r="10" spans="1:24" ht="28.8" x14ac:dyDescent="0.3">
      <c r="A10" s="1" t="s">
        <v>51</v>
      </c>
      <c r="B10" s="1" t="s">
        <v>188</v>
      </c>
      <c r="C10" s="7" t="s">
        <v>178</v>
      </c>
      <c r="D10" s="1">
        <v>194879860.86935723</v>
      </c>
      <c r="E10" s="8">
        <v>19487.986086935722</v>
      </c>
      <c r="F10" s="8">
        <v>194.87986086935723</v>
      </c>
      <c r="G10" s="8">
        <v>0.1933694325730132</v>
      </c>
      <c r="H10" s="9">
        <v>0.24429448438980109</v>
      </c>
    </row>
    <row r="11" spans="1:24" ht="28.8" x14ac:dyDescent="0.3">
      <c r="A11" s="1" t="s">
        <v>51</v>
      </c>
      <c r="B11" s="7" t="s">
        <v>187</v>
      </c>
      <c r="C11" s="7" t="s">
        <v>178</v>
      </c>
      <c r="D11" s="1">
        <v>487001126.32064176</v>
      </c>
      <c r="E11" s="8">
        <v>48700.112632064185</v>
      </c>
      <c r="F11" s="8">
        <v>487.00112632064179</v>
      </c>
      <c r="G11" s="8">
        <v>0.4832265942665615</v>
      </c>
      <c r="H11" s="9">
        <v>0.61048734600395349</v>
      </c>
    </row>
    <row r="12" spans="1:24" x14ac:dyDescent="0.3">
      <c r="A12" s="4" t="s">
        <v>50</v>
      </c>
      <c r="B12" s="4" t="s">
        <v>194</v>
      </c>
      <c r="C12" s="4" t="s">
        <v>179</v>
      </c>
      <c r="D12" s="4">
        <v>5501971.6119999904</v>
      </c>
      <c r="E12" s="5">
        <v>550.19716119999907</v>
      </c>
      <c r="F12" s="5">
        <v>5.5019716119999904</v>
      </c>
      <c r="G12" s="5">
        <v>1.018057674262837E-2</v>
      </c>
      <c r="H12" s="12">
        <v>1.4733805929606077E-2</v>
      </c>
    </row>
    <row r="13" spans="1:24" x14ac:dyDescent="0.3">
      <c r="A13" s="4" t="s">
        <v>50</v>
      </c>
      <c r="B13" s="4" t="s">
        <v>190</v>
      </c>
      <c r="C13" s="4" t="s">
        <v>179</v>
      </c>
      <c r="D13" s="4">
        <v>5612814.23999999</v>
      </c>
      <c r="E13" s="12">
        <v>561.28142399999899</v>
      </c>
      <c r="F13" s="12">
        <v>5.6128142399999899</v>
      </c>
      <c r="G13" s="12">
        <v>1.0385674471276666E-2</v>
      </c>
      <c r="H13" s="12">
        <v>1.5030632937240501E-2</v>
      </c>
    </row>
    <row r="14" spans="1:24" x14ac:dyDescent="0.3">
      <c r="A14" s="4" t="s">
        <v>50</v>
      </c>
      <c r="B14" s="4" t="s">
        <v>192</v>
      </c>
      <c r="C14" s="4" t="s">
        <v>179</v>
      </c>
      <c r="D14" s="4">
        <v>6735304.5039999997</v>
      </c>
      <c r="E14" s="5">
        <v>673.53045039999995</v>
      </c>
      <c r="F14" s="5">
        <v>6.7353045040000001</v>
      </c>
      <c r="G14" s="5">
        <v>1.246267505968052E-2</v>
      </c>
      <c r="H14" s="12">
        <v>1.8036565150990436E-2</v>
      </c>
    </row>
    <row r="15" spans="1:24" x14ac:dyDescent="0.3">
      <c r="A15" s="4" t="s">
        <v>50</v>
      </c>
      <c r="B15" s="4" t="s">
        <v>195</v>
      </c>
      <c r="C15" s="4" t="s">
        <v>179</v>
      </c>
      <c r="D15" s="4">
        <v>14383573.329999899</v>
      </c>
      <c r="E15" s="5">
        <v>1438.3573329999899</v>
      </c>
      <c r="F15" s="5">
        <v>14.3835733299999</v>
      </c>
      <c r="G15" s="5">
        <v>2.6614654245018476E-2</v>
      </c>
      <c r="H15" s="12">
        <v>3.8517970095712797E-2</v>
      </c>
    </row>
    <row r="16" spans="1:24" x14ac:dyDescent="0.3">
      <c r="A16" s="4" t="s">
        <v>50</v>
      </c>
      <c r="B16" s="4" t="s">
        <v>193</v>
      </c>
      <c r="C16" s="4" t="s">
        <v>179</v>
      </c>
      <c r="D16" s="4">
        <v>49514210.125</v>
      </c>
      <c r="E16" s="14">
        <v>4951.4210125</v>
      </c>
      <c r="F16" s="14">
        <v>49.514210124999998</v>
      </c>
      <c r="G16" s="14">
        <v>9.1618650835777901E-2</v>
      </c>
      <c r="H16" s="12">
        <v>0.13259478859330173</v>
      </c>
    </row>
    <row r="17" spans="1:24" x14ac:dyDescent="0.3">
      <c r="A17" s="4" t="s">
        <v>50</v>
      </c>
      <c r="B17" s="4" t="s">
        <v>189</v>
      </c>
      <c r="C17" s="4" t="s">
        <v>179</v>
      </c>
      <c r="D17" s="4">
        <v>58860408.868000001</v>
      </c>
      <c r="E17" s="5">
        <v>5886.0408868000004</v>
      </c>
      <c r="F17" s="5">
        <v>58.860408868</v>
      </c>
      <c r="G17" s="5">
        <v>0.10891239574486532</v>
      </c>
      <c r="H17" s="12">
        <v>0.15762310356289386</v>
      </c>
    </row>
    <row r="18" spans="1:24" x14ac:dyDescent="0.3">
      <c r="A18" s="4" t="s">
        <v>50</v>
      </c>
      <c r="B18" s="4" t="s">
        <v>182</v>
      </c>
      <c r="C18" s="4" t="s">
        <v>179</v>
      </c>
      <c r="D18" s="4">
        <v>105221480.442</v>
      </c>
      <c r="E18" s="13">
        <v>10522.148044200001</v>
      </c>
      <c r="F18" s="13">
        <v>105.221480442</v>
      </c>
      <c r="G18" s="13">
        <v>0.19469663461665149</v>
      </c>
      <c r="H18" s="12">
        <v>0.28177405878957706</v>
      </c>
    </row>
    <row r="19" spans="1:24" x14ac:dyDescent="0.3">
      <c r="A19" s="4" t="s">
        <v>50</v>
      </c>
      <c r="B19" s="4" t="s">
        <v>188</v>
      </c>
      <c r="C19" s="4" t="s">
        <v>179</v>
      </c>
      <c r="D19" s="4">
        <v>123966697.138999</v>
      </c>
      <c r="E19" s="5">
        <v>12396.669713899901</v>
      </c>
      <c r="F19" s="5">
        <v>123.966697138999</v>
      </c>
      <c r="G19" s="5">
        <v>0.22938185849617401</v>
      </c>
      <c r="H19" s="12">
        <v>0.33197213402493786</v>
      </c>
    </row>
    <row r="20" spans="1:24" x14ac:dyDescent="0.3">
      <c r="A20" s="1" t="s">
        <v>48</v>
      </c>
      <c r="B20" s="1" t="s">
        <v>196</v>
      </c>
      <c r="C20" s="1" t="s">
        <v>179</v>
      </c>
      <c r="D20" s="1">
        <v>43971495.531999998</v>
      </c>
      <c r="E20">
        <v>4397.1495531999999</v>
      </c>
      <c r="F20">
        <v>43.971495531999999</v>
      </c>
      <c r="G20">
        <v>7.1568062044263664E-3</v>
      </c>
      <c r="H20" s="11">
        <v>2.8267203009240002E-2</v>
      </c>
    </row>
    <row r="21" spans="1:24" x14ac:dyDescent="0.3">
      <c r="A21" s="1" t="s">
        <v>48</v>
      </c>
      <c r="B21" s="1" t="s">
        <v>191</v>
      </c>
      <c r="C21" s="1" t="s">
        <v>179</v>
      </c>
      <c r="D21" s="1">
        <v>84966866.701999903</v>
      </c>
      <c r="E21">
        <v>8496.6866701999897</v>
      </c>
      <c r="F21">
        <v>84.966866701999905</v>
      </c>
      <c r="G21">
        <v>1.3829218029234551E-2</v>
      </c>
      <c r="H21" s="11">
        <v>5.4621195869414711E-2</v>
      </c>
    </row>
    <row r="22" spans="1:24" x14ac:dyDescent="0.3">
      <c r="A22" s="1" t="s">
        <v>48</v>
      </c>
      <c r="B22" s="1" t="s">
        <v>188</v>
      </c>
      <c r="C22" s="1" t="s">
        <v>179</v>
      </c>
      <c r="D22" s="1">
        <v>110451409.62099899</v>
      </c>
      <c r="E22">
        <v>11045.1409620999</v>
      </c>
      <c r="F22">
        <v>110.45140962099899</v>
      </c>
      <c r="G22">
        <v>1.7977085475474375E-2</v>
      </c>
      <c r="H22" s="11">
        <v>7.1004007951955481E-2</v>
      </c>
    </row>
    <row r="23" spans="1:24" x14ac:dyDescent="0.3">
      <c r="A23" s="1" t="s">
        <v>48</v>
      </c>
      <c r="B23" s="1" t="s">
        <v>182</v>
      </c>
      <c r="C23" s="1" t="s">
        <v>179</v>
      </c>
      <c r="D23" s="1">
        <v>197317473.72799999</v>
      </c>
      <c r="E23">
        <v>19731.747372799997</v>
      </c>
      <c r="F23">
        <v>197.31747372799998</v>
      </c>
      <c r="G23">
        <v>3.2115417115858462E-2</v>
      </c>
      <c r="H23" s="11">
        <v>0.12684610836310264</v>
      </c>
    </row>
    <row r="24" spans="1:24" x14ac:dyDescent="0.3">
      <c r="A24" s="1" t="s">
        <v>48</v>
      </c>
      <c r="B24" s="1" t="s">
        <v>198</v>
      </c>
      <c r="C24" s="1" t="s">
        <v>179</v>
      </c>
      <c r="D24" s="1">
        <v>292075364.669999</v>
      </c>
      <c r="E24">
        <v>29207.5364669999</v>
      </c>
      <c r="F24">
        <v>292.07536466999898</v>
      </c>
      <c r="G24">
        <v>4.7538223495471495E-2</v>
      </c>
      <c r="H24" s="11">
        <v>0.18776149246768964</v>
      </c>
    </row>
    <row r="25" spans="1:24" s="5" customFormat="1" x14ac:dyDescent="0.3">
      <c r="A25" s="1" t="s">
        <v>48</v>
      </c>
      <c r="B25" s="1" t="s">
        <v>199</v>
      </c>
      <c r="C25" s="1" t="s">
        <v>179</v>
      </c>
      <c r="D25" s="1">
        <v>826783234.64600301</v>
      </c>
      <c r="E25">
        <v>82678.323464600297</v>
      </c>
      <c r="F25">
        <v>826.78323464600305</v>
      </c>
      <c r="G25">
        <v>0.13456734440892645</v>
      </c>
      <c r="H25" s="11">
        <v>0.53149999233859757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s="5" customFormat="1" x14ac:dyDescent="0.3">
      <c r="A26" s="4" t="s">
        <v>43</v>
      </c>
      <c r="B26" s="4" t="s">
        <v>168</v>
      </c>
      <c r="C26" s="4" t="s">
        <v>180</v>
      </c>
      <c r="D26" s="4">
        <v>6570155.4800000004</v>
      </c>
      <c r="E26" s="5">
        <v>657.01554800000008</v>
      </c>
      <c r="F26" s="5">
        <v>6.5701554800000004</v>
      </c>
      <c r="G26" s="5">
        <v>9.9720707945900391E-3</v>
      </c>
      <c r="H26" s="5">
        <v>2.199784157749542E-2</v>
      </c>
    </row>
    <row r="27" spans="1:24" s="5" customFormat="1" x14ac:dyDescent="0.3">
      <c r="A27" s="4" t="s">
        <v>43</v>
      </c>
      <c r="B27" s="4" t="s">
        <v>186</v>
      </c>
      <c r="C27" s="4" t="s">
        <v>180</v>
      </c>
      <c r="D27" s="4">
        <v>18402266.006999999</v>
      </c>
      <c r="E27" s="14">
        <v>1840.2266006999998</v>
      </c>
      <c r="F27" s="14">
        <v>18.402266006999998</v>
      </c>
      <c r="G27" s="14">
        <v>2.7930647906475686E-2</v>
      </c>
      <c r="H27" s="5">
        <v>6.1613478329574513E-2</v>
      </c>
    </row>
    <row r="28" spans="1:24" s="5" customFormat="1" x14ac:dyDescent="0.3">
      <c r="A28" s="4" t="s">
        <v>43</v>
      </c>
      <c r="B28" s="4" t="s">
        <v>188</v>
      </c>
      <c r="C28" s="4" t="s">
        <v>178</v>
      </c>
      <c r="D28" s="4">
        <v>77030370.762357861</v>
      </c>
      <c r="E28" s="4">
        <v>7703.037076235787</v>
      </c>
      <c r="F28" s="4">
        <v>77.030370762357862</v>
      </c>
      <c r="G28" s="4">
        <v>0.11691539308530202</v>
      </c>
      <c r="H28" s="5">
        <v>0.25790894870665726</v>
      </c>
    </row>
    <row r="29" spans="1:24" s="5" customFormat="1" x14ac:dyDescent="0.3">
      <c r="A29" s="4" t="s">
        <v>43</v>
      </c>
      <c r="B29" s="4" t="s">
        <v>182</v>
      </c>
      <c r="C29" s="4" t="s">
        <v>178</v>
      </c>
      <c r="D29" s="4">
        <v>196669941.47564113</v>
      </c>
      <c r="E29" s="13">
        <v>19666.99414756411</v>
      </c>
      <c r="F29" s="13">
        <v>196.66994147564111</v>
      </c>
      <c r="G29" s="13">
        <v>0.29850230874033634</v>
      </c>
      <c r="H29" s="5">
        <v>0.6584797313862728</v>
      </c>
    </row>
    <row r="30" spans="1:24" s="5" customFormat="1" x14ac:dyDescent="0.3">
      <c r="A30" s="1" t="s">
        <v>38</v>
      </c>
      <c r="B30" s="1" t="s">
        <v>194</v>
      </c>
      <c r="C30" s="1" t="s">
        <v>179</v>
      </c>
      <c r="D30" s="1">
        <v>19497416.0459999</v>
      </c>
      <c r="E30" s="16">
        <v>1949.7416045999898</v>
      </c>
      <c r="F30" s="16">
        <v>19.497416045999898</v>
      </c>
      <c r="G30" s="16">
        <v>6.2503872941554635E-3</v>
      </c>
      <c r="H30" s="11">
        <v>1.2103060778298553E-2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4" s="5" customFormat="1" x14ac:dyDescent="0.3">
      <c r="A31" s="1" t="s">
        <v>38</v>
      </c>
      <c r="B31" s="1" t="s">
        <v>197</v>
      </c>
      <c r="C31" s="1" t="s">
        <v>179</v>
      </c>
      <c r="D31" s="1">
        <v>25531112.142000001</v>
      </c>
      <c r="E31" s="15">
        <v>2553.1112142000002</v>
      </c>
      <c r="F31" s="15">
        <v>25.531112142000001</v>
      </c>
      <c r="G31" s="15">
        <v>8.1846403934512368E-3</v>
      </c>
      <c r="H31" s="11">
        <v>1.584848993646918E-2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4" s="5" customFormat="1" x14ac:dyDescent="0.3">
      <c r="A32" s="1" t="s">
        <v>38</v>
      </c>
      <c r="B32" s="1" t="s">
        <v>190</v>
      </c>
      <c r="C32" s="1" t="s">
        <v>179</v>
      </c>
      <c r="D32" s="1">
        <v>346574551.85699898</v>
      </c>
      <c r="E32" s="15">
        <v>34657.455185699895</v>
      </c>
      <c r="F32" s="15">
        <v>346.57455185699899</v>
      </c>
      <c r="G32" s="15">
        <v>0.11110319286893579</v>
      </c>
      <c r="H32" s="11">
        <v>0.21513685995316345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4" s="5" customFormat="1" x14ac:dyDescent="0.3">
      <c r="A33" s="1" t="s">
        <v>38</v>
      </c>
      <c r="B33" s="1" t="s">
        <v>193</v>
      </c>
      <c r="C33" s="1" t="s">
        <v>179</v>
      </c>
      <c r="D33" s="1">
        <v>365141850.063999</v>
      </c>
      <c r="E33">
        <v>36514.185006399901</v>
      </c>
      <c r="F33">
        <v>365.14185006399902</v>
      </c>
      <c r="G33">
        <v>0.1170554074868127</v>
      </c>
      <c r="H33" s="11">
        <v>0.22666254818579562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4" s="5" customFormat="1" x14ac:dyDescent="0.3">
      <c r="A34" s="1" t="s">
        <v>38</v>
      </c>
      <c r="B34" s="1" t="s">
        <v>188</v>
      </c>
      <c r="C34" s="1" t="s">
        <v>179</v>
      </c>
      <c r="D34" s="1">
        <v>386211356.13499892</v>
      </c>
      <c r="E34" s="8">
        <v>38621.135613499893</v>
      </c>
      <c r="F34" s="8">
        <v>386.21135613499888</v>
      </c>
      <c r="G34" s="8">
        <v>0.12380976779433289</v>
      </c>
      <c r="H34" s="11">
        <v>0.23974148705361339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4" s="5" customFormat="1" x14ac:dyDescent="0.3">
      <c r="A35" s="1" t="s">
        <v>38</v>
      </c>
      <c r="B35" s="1" t="s">
        <v>187</v>
      </c>
      <c r="C35" s="1" t="s">
        <v>179</v>
      </c>
      <c r="D35" s="1">
        <v>467992911.08299899</v>
      </c>
      <c r="E35" s="8">
        <v>46799.291108299905</v>
      </c>
      <c r="F35" s="8">
        <v>467.992911082999</v>
      </c>
      <c r="G35" s="8">
        <v>0.15002690296430984</v>
      </c>
      <c r="H35" s="11">
        <v>0.29050755409265971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4" s="5" customFormat="1" x14ac:dyDescent="0.3">
      <c r="A36" s="4" t="s">
        <v>31</v>
      </c>
      <c r="B36" s="4" t="s">
        <v>193</v>
      </c>
      <c r="C36" s="4" t="s">
        <v>179</v>
      </c>
      <c r="D36" s="4">
        <v>27803684.9339999</v>
      </c>
      <c r="E36" s="12">
        <v>2780.3684933999898</v>
      </c>
      <c r="F36" s="12">
        <v>27.8036849339999</v>
      </c>
      <c r="G36" s="12">
        <v>5.5311241167148506E-3</v>
      </c>
      <c r="H36" s="5">
        <v>1.4094143507145425E-2</v>
      </c>
    </row>
    <row r="37" spans="1:24" s="5" customFormat="1" x14ac:dyDescent="0.3">
      <c r="A37" s="4" t="s">
        <v>31</v>
      </c>
      <c r="B37" s="4" t="s">
        <v>196</v>
      </c>
      <c r="C37" s="4" t="s">
        <v>179</v>
      </c>
      <c r="D37" s="4">
        <v>30807671.649</v>
      </c>
      <c r="E37" s="12">
        <v>3080.7671648999999</v>
      </c>
      <c r="F37" s="12">
        <v>30.807671649</v>
      </c>
      <c r="G37" s="12">
        <v>6.1287220036521251E-3</v>
      </c>
      <c r="H37" s="5">
        <v>1.5616913598781578E-2</v>
      </c>
    </row>
    <row r="38" spans="1:24" s="5" customFormat="1" x14ac:dyDescent="0.3">
      <c r="A38" s="4" t="s">
        <v>31</v>
      </c>
      <c r="B38" s="4" t="s">
        <v>195</v>
      </c>
      <c r="C38" s="4" t="s">
        <v>179</v>
      </c>
      <c r="D38" s="4">
        <v>44839421.387000002</v>
      </c>
      <c r="E38" s="12">
        <v>4483.9421387000002</v>
      </c>
      <c r="F38" s="12">
        <v>44.839421387000002</v>
      </c>
      <c r="G38" s="12">
        <v>8.9201271558753681E-3</v>
      </c>
      <c r="H38" s="5">
        <v>2.2729837476791845E-2</v>
      </c>
    </row>
    <row r="39" spans="1:24" s="5" customFormat="1" x14ac:dyDescent="0.3">
      <c r="A39" s="4" t="s">
        <v>31</v>
      </c>
      <c r="B39" s="4" t="s">
        <v>198</v>
      </c>
      <c r="C39" s="4" t="s">
        <v>179</v>
      </c>
      <c r="D39" s="4">
        <v>44969850.278999902</v>
      </c>
      <c r="E39" s="14">
        <v>4496.9850278999902</v>
      </c>
      <c r="F39" s="14">
        <v>44.9698502789999</v>
      </c>
      <c r="G39" s="14">
        <v>8.9460740183782902E-3</v>
      </c>
      <c r="H39" s="5">
        <v>2.2795954019461936E-2</v>
      </c>
    </row>
    <row r="40" spans="1:24" s="5" customFormat="1" x14ac:dyDescent="0.3">
      <c r="A40" s="4" t="s">
        <v>31</v>
      </c>
      <c r="B40" s="4" t="s">
        <v>194</v>
      </c>
      <c r="C40" s="4" t="s">
        <v>179</v>
      </c>
      <c r="D40" s="4">
        <v>68224307.628999993</v>
      </c>
      <c r="E40" s="5">
        <v>6822.4307628999995</v>
      </c>
      <c r="F40" s="5">
        <v>68.224307628999995</v>
      </c>
      <c r="G40" s="5">
        <v>1.3572197864013393E-2</v>
      </c>
      <c r="H40" s="5">
        <v>3.4584019516884577E-2</v>
      </c>
    </row>
    <row r="41" spans="1:24" x14ac:dyDescent="0.3">
      <c r="A41" s="4" t="s">
        <v>31</v>
      </c>
      <c r="B41" s="4" t="s">
        <v>191</v>
      </c>
      <c r="C41" s="4" t="s">
        <v>179</v>
      </c>
      <c r="D41" s="4">
        <v>92314022.302999914</v>
      </c>
      <c r="E41" s="13">
        <v>9231.4022302999911</v>
      </c>
      <c r="F41" s="13">
        <v>92.314022302999902</v>
      </c>
      <c r="G41" s="13">
        <v>1.8364483566949238E-2</v>
      </c>
      <c r="H41" s="5">
        <v>4.6795490639057767E-2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s="5" customFormat="1" x14ac:dyDescent="0.3">
      <c r="A42" s="4" t="s">
        <v>31</v>
      </c>
      <c r="B42" s="4" t="s">
        <v>200</v>
      </c>
      <c r="C42" s="4" t="s">
        <v>179</v>
      </c>
      <c r="D42" s="4">
        <v>115126918.603999</v>
      </c>
      <c r="E42" s="12">
        <v>11512.6918603999</v>
      </c>
      <c r="F42" s="12">
        <v>115.126918603999</v>
      </c>
      <c r="G42" s="12">
        <v>2.2902765496200638E-2</v>
      </c>
      <c r="H42" s="5">
        <v>5.8359721604958462E-2</v>
      </c>
    </row>
    <row r="43" spans="1:24" x14ac:dyDescent="0.3">
      <c r="A43" s="4" t="s">
        <v>31</v>
      </c>
      <c r="B43" s="4" t="s">
        <v>199</v>
      </c>
      <c r="C43" s="4" t="s">
        <v>179</v>
      </c>
      <c r="D43" s="4">
        <v>297711187.09799802</v>
      </c>
      <c r="E43" s="14">
        <v>29771.118709799801</v>
      </c>
      <c r="F43" s="14">
        <v>297.71118709799805</v>
      </c>
      <c r="G43" s="14">
        <v>5.9225154172276445E-2</v>
      </c>
      <c r="H43" s="5">
        <v>0.15091467928090069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4" x14ac:dyDescent="0.3">
      <c r="A44" s="4" t="s">
        <v>31</v>
      </c>
      <c r="B44" s="4" t="s">
        <v>188</v>
      </c>
      <c r="C44" s="4" t="s">
        <v>179</v>
      </c>
      <c r="D44" s="4">
        <v>565220530.03999996</v>
      </c>
      <c r="E44" s="13">
        <v>56522.053004000001</v>
      </c>
      <c r="F44" s="13">
        <v>565.22053004000009</v>
      </c>
      <c r="G44" s="13">
        <v>0.11244210659082726</v>
      </c>
      <c r="H44" s="5">
        <v>0.28651954884681224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4" s="9" customFormat="1" x14ac:dyDescent="0.3">
      <c r="A45" s="4" t="s">
        <v>31</v>
      </c>
      <c r="B45" s="4" t="s">
        <v>182</v>
      </c>
      <c r="C45" s="4" t="s">
        <v>179</v>
      </c>
      <c r="D45" s="4">
        <v>685694328.57900095</v>
      </c>
      <c r="E45" s="5">
        <v>68569.432857900101</v>
      </c>
      <c r="F45" s="5">
        <v>685.69432857900097</v>
      </c>
      <c r="G45" s="5">
        <v>0.13640855327273657</v>
      </c>
      <c r="H45" s="5">
        <v>0.34758969150920532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/>
      <c r="W45"/>
      <c r="X45"/>
    </row>
    <row r="46" spans="1:24" s="9" customFormat="1" x14ac:dyDescent="0.3">
      <c r="A46" s="7" t="s">
        <v>30</v>
      </c>
      <c r="B46" s="7" t="s">
        <v>198</v>
      </c>
      <c r="C46" s="7" t="s">
        <v>179</v>
      </c>
      <c r="D46" s="7">
        <v>28335690.960999999</v>
      </c>
      <c r="E46" s="9">
        <v>2833.5690961</v>
      </c>
      <c r="F46" s="9">
        <v>28.335690961000001</v>
      </c>
      <c r="G46" s="9">
        <v>1.7680379756762791E-2</v>
      </c>
      <c r="H46" s="11">
        <v>2.0025258166755874E-2</v>
      </c>
    </row>
    <row r="47" spans="1:24" s="5" customFormat="1" x14ac:dyDescent="0.3">
      <c r="A47" s="1" t="s">
        <v>30</v>
      </c>
      <c r="B47" s="1" t="s">
        <v>188</v>
      </c>
      <c r="C47" s="1" t="s">
        <v>179</v>
      </c>
      <c r="D47" s="1">
        <v>32005787.508999899</v>
      </c>
      <c r="E47">
        <v>3200.5787508999897</v>
      </c>
      <c r="F47">
        <v>32.005787508999902</v>
      </c>
      <c r="G47">
        <v>1.9970378641982579E-2</v>
      </c>
      <c r="H47" s="11">
        <v>2.2618970491321111E-2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4" x14ac:dyDescent="0.3">
      <c r="A48" s="1" t="s">
        <v>30</v>
      </c>
      <c r="B48" s="1" t="s">
        <v>182</v>
      </c>
      <c r="C48" s="1" t="s">
        <v>179</v>
      </c>
      <c r="D48" s="1">
        <v>158785127.14399999</v>
      </c>
      <c r="E48">
        <v>15878.5127144</v>
      </c>
      <c r="F48">
        <v>158.785127144</v>
      </c>
      <c r="G48">
        <v>9.9075803427406794E-2</v>
      </c>
      <c r="H48" s="11">
        <v>0.11221583297461046</v>
      </c>
    </row>
    <row r="49" spans="1:24" x14ac:dyDescent="0.3">
      <c r="A49" s="1" t="s">
        <v>30</v>
      </c>
      <c r="B49" s="1" t="s">
        <v>190</v>
      </c>
      <c r="C49" s="1" t="s">
        <v>179</v>
      </c>
      <c r="D49" s="1">
        <v>337204718.83399999</v>
      </c>
      <c r="E49">
        <v>33720.471883400001</v>
      </c>
      <c r="F49">
        <v>337.204718834</v>
      </c>
      <c r="G49">
        <v>0.21040275647286136</v>
      </c>
      <c r="H49" s="11">
        <v>0.23830763678899425</v>
      </c>
    </row>
    <row r="50" spans="1:24" x14ac:dyDescent="0.3">
      <c r="A50" s="1" t="s">
        <v>30</v>
      </c>
      <c r="B50" s="1" t="s">
        <v>192</v>
      </c>
      <c r="C50" s="1" t="s">
        <v>179</v>
      </c>
      <c r="D50" s="1">
        <v>850085131.19700003</v>
      </c>
      <c r="E50">
        <v>85008.513119700001</v>
      </c>
      <c r="F50">
        <v>850.08513119700001</v>
      </c>
      <c r="G50">
        <v>0.53042037922515728</v>
      </c>
      <c r="H50" s="11">
        <v>0.60076792337163798</v>
      </c>
    </row>
    <row r="51" spans="1:24" x14ac:dyDescent="0.3">
      <c r="A51" s="4" t="s">
        <v>12</v>
      </c>
      <c r="B51" s="4" t="s">
        <v>185</v>
      </c>
      <c r="C51" s="4" t="s">
        <v>181</v>
      </c>
      <c r="D51" s="4">
        <v>3152179.9989999998</v>
      </c>
      <c r="E51" s="5">
        <v>315.2179999</v>
      </c>
      <c r="F51" s="5">
        <v>3.1521799989999999</v>
      </c>
      <c r="G51" s="5">
        <v>3.3502277439338389E-2</v>
      </c>
      <c r="H51" s="5">
        <v>3.3502277439338354E-2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3">
      <c r="A52" s="4" t="s">
        <v>12</v>
      </c>
      <c r="B52" s="4" t="s">
        <v>186</v>
      </c>
      <c r="C52" s="4" t="s">
        <v>181</v>
      </c>
      <c r="D52" s="4">
        <v>90936348.899000004</v>
      </c>
      <c r="E52" s="5">
        <v>9093.6348899000004</v>
      </c>
      <c r="F52" s="5">
        <v>90.936348899000009</v>
      </c>
      <c r="G52" s="5">
        <v>0.96649772256066269</v>
      </c>
      <c r="H52" s="5">
        <v>0.96649772256066158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3">
      <c r="A53" s="1" t="s">
        <v>4</v>
      </c>
      <c r="B53" s="1" t="s">
        <v>190</v>
      </c>
      <c r="C53" s="1" t="s">
        <v>179</v>
      </c>
      <c r="D53" s="1">
        <v>6630164.0130000003</v>
      </c>
      <c r="E53">
        <v>663.01640129999998</v>
      </c>
      <c r="F53">
        <v>6.6301640129999999</v>
      </c>
      <c r="G53">
        <v>1.0306227559648017E-2</v>
      </c>
      <c r="H53" s="9">
        <v>1.0392736201515946E-2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x14ac:dyDescent="0.3">
      <c r="A54" s="1" t="s">
        <v>4</v>
      </c>
      <c r="B54" s="1" t="s">
        <v>199</v>
      </c>
      <c r="C54" s="1" t="s">
        <v>179</v>
      </c>
      <c r="D54" s="1">
        <v>10745268.308</v>
      </c>
      <c r="E54">
        <v>1074.5268308</v>
      </c>
      <c r="F54">
        <v>10.745268308</v>
      </c>
      <c r="G54">
        <v>1.670293225847564E-2</v>
      </c>
      <c r="H54" s="9">
        <v>1.6843133702362845E-2</v>
      </c>
    </row>
    <row r="55" spans="1:24" x14ac:dyDescent="0.3">
      <c r="A55" s="1" t="s">
        <v>4</v>
      </c>
      <c r="B55" s="1" t="s">
        <v>188</v>
      </c>
      <c r="C55" s="1" t="s">
        <v>179</v>
      </c>
      <c r="D55" s="1">
        <v>20175138.897</v>
      </c>
      <c r="E55">
        <v>2017.5138896999999</v>
      </c>
      <c r="F55">
        <v>20.175138897</v>
      </c>
      <c r="G55">
        <v>3.1361150661174161E-2</v>
      </c>
      <c r="H55" s="9">
        <v>3.1624390584357689E-2</v>
      </c>
    </row>
    <row r="56" spans="1:24" x14ac:dyDescent="0.3">
      <c r="A56" s="1" t="s">
        <v>4</v>
      </c>
      <c r="B56" s="1" t="s">
        <v>182</v>
      </c>
      <c r="C56" s="1" t="s">
        <v>179</v>
      </c>
      <c r="D56" s="1">
        <v>40040804.751999997</v>
      </c>
      <c r="E56">
        <v>4004.0804751999995</v>
      </c>
      <c r="F56">
        <v>40.040804752</v>
      </c>
      <c r="G56">
        <v>6.2241242394066192E-2</v>
      </c>
      <c r="H56" s="9">
        <v>6.2763684317313148E-2</v>
      </c>
    </row>
    <row r="57" spans="1:24" x14ac:dyDescent="0.3">
      <c r="A57" s="1" t="s">
        <v>4</v>
      </c>
      <c r="B57" s="1" t="s">
        <v>198</v>
      </c>
      <c r="C57" s="1" t="s">
        <v>179</v>
      </c>
      <c r="D57" s="1">
        <v>560369973.61500001</v>
      </c>
      <c r="E57">
        <v>56036.997361499998</v>
      </c>
      <c r="F57">
        <v>560.36997361500005</v>
      </c>
      <c r="G57">
        <v>0.87106449468615055</v>
      </c>
      <c r="H57" s="9">
        <v>0.87837605519445039</v>
      </c>
    </row>
  </sheetData>
  <sortState xmlns:xlrd2="http://schemas.microsoft.com/office/spreadsheetml/2017/richdata2" ref="A2:X57">
    <sortCondition ref="A2:A57"/>
  </sortState>
  <conditionalFormatting sqref="G33 G36:G38 G44:G1048576 G10:G16 G18:G26 G29:G30 G40:G41 G1:G3 G5:G7">
    <cfRule type="cellIs" dxfId="11" priority="17" operator="greaterThan">
      <formula>0.05</formula>
    </cfRule>
    <cfRule type="cellIs" dxfId="10" priority="18" operator="greaterThan">
      <formula>0.01</formula>
    </cfRule>
  </conditionalFormatting>
  <conditionalFormatting sqref="G4">
    <cfRule type="cellIs" dxfId="9" priority="11" operator="greaterThan">
      <formula>0.05</formula>
    </cfRule>
    <cfRule type="cellIs" dxfId="8" priority="12" operator="greaterThan">
      <formula>0.01</formula>
    </cfRule>
  </conditionalFormatting>
  <conditionalFormatting sqref="G17">
    <cfRule type="cellIs" dxfId="7" priority="9" operator="greaterThan">
      <formula>0.05</formula>
    </cfRule>
    <cfRule type="cellIs" dxfId="6" priority="10" operator="greaterThan">
      <formula>0.01</formula>
    </cfRule>
  </conditionalFormatting>
  <conditionalFormatting sqref="G34">
    <cfRule type="cellIs" dxfId="5" priority="5" operator="greaterThan">
      <formula>0.05</formula>
    </cfRule>
    <cfRule type="cellIs" dxfId="4" priority="6" operator="greaterThan">
      <formula>0.01</formula>
    </cfRule>
  </conditionalFormatting>
  <conditionalFormatting sqref="G35">
    <cfRule type="cellIs" dxfId="3" priority="3" operator="greaterThan">
      <formula>0.05</formula>
    </cfRule>
    <cfRule type="cellIs" dxfId="2" priority="4" operator="greaterThan">
      <formula>0.01</formula>
    </cfRule>
  </conditionalFormatting>
  <conditionalFormatting sqref="G42">
    <cfRule type="cellIs" dxfId="1" priority="1" operator="greaterThan">
      <formula>0.05</formula>
    </cfRule>
    <cfRule type="cellIs" dxfId="0" priority="2" operator="greaterThan">
      <formula>0.01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E36D-53B8-4E7D-8091-769BE6731F16}">
  <dimension ref="A1:W44"/>
  <sheetViews>
    <sheetView topLeftCell="A28" workbookViewId="0">
      <selection activeCell="B45" sqref="B45"/>
    </sheetView>
  </sheetViews>
  <sheetFormatPr defaultRowHeight="14.4" x14ac:dyDescent="0.3"/>
  <cols>
    <col min="1" max="1" width="23.33203125" customWidth="1"/>
    <col min="2" max="2" width="130" customWidth="1"/>
    <col min="4" max="6" width="11.5546875" bestFit="1" customWidth="1"/>
  </cols>
  <sheetData>
    <row r="1" spans="1:23" ht="16.2" customHeight="1" x14ac:dyDescent="0.3">
      <c r="A1" s="1" t="s">
        <v>64</v>
      </c>
      <c r="B1" s="1" t="s">
        <v>202</v>
      </c>
      <c r="C1" s="1" t="s">
        <v>178</v>
      </c>
      <c r="D1" s="1" t="s">
        <v>54</v>
      </c>
      <c r="E1" s="2" t="s">
        <v>55</v>
      </c>
      <c r="F1" s="2" t="s">
        <v>176</v>
      </c>
      <c r="G1" s="10" t="s">
        <v>201</v>
      </c>
    </row>
    <row r="2" spans="1:23" s="5" customFormat="1" x14ac:dyDescent="0.3">
      <c r="A2" s="4" t="s">
        <v>53</v>
      </c>
      <c r="B2" s="4" t="s">
        <v>188</v>
      </c>
      <c r="C2" s="4" t="s">
        <v>179</v>
      </c>
      <c r="D2" s="4">
        <v>196102241.01899999</v>
      </c>
      <c r="E2" s="12">
        <v>19610.224101899999</v>
      </c>
      <c r="F2" s="12">
        <v>196.10224101899999</v>
      </c>
      <c r="G2" s="5">
        <v>7.6043638094645455E-2</v>
      </c>
    </row>
    <row r="3" spans="1:23" x14ac:dyDescent="0.3">
      <c r="A3" s="4" t="s">
        <v>53</v>
      </c>
      <c r="B3" s="4" t="s">
        <v>187</v>
      </c>
      <c r="C3" s="4" t="s">
        <v>179</v>
      </c>
      <c r="D3" s="4">
        <v>657984252.98699999</v>
      </c>
      <c r="E3" s="13">
        <v>65798.425298699993</v>
      </c>
      <c r="F3" s="13">
        <v>657.98425298699999</v>
      </c>
      <c r="G3" s="5">
        <v>0.25515015099328325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">
      <c r="A4" s="4" t="s">
        <v>53</v>
      </c>
      <c r="B4" s="4" t="s">
        <v>193</v>
      </c>
      <c r="C4" s="4" t="s">
        <v>179</v>
      </c>
      <c r="D4" s="4">
        <v>1561134819.6259899</v>
      </c>
      <c r="E4" s="14">
        <v>156113.48196259901</v>
      </c>
      <c r="F4" s="14">
        <v>1561.1348196259898</v>
      </c>
      <c r="G4" s="5">
        <v>0.60536978376033124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">
      <c r="A5" s="4" t="s">
        <v>53</v>
      </c>
      <c r="B5" s="4" t="s">
        <v>57</v>
      </c>
      <c r="C5" s="4" t="s">
        <v>179</v>
      </c>
      <c r="D5" s="14">
        <v>163590615.05200014</v>
      </c>
      <c r="E5" s="14">
        <v>16359.061505200014</v>
      </c>
      <c r="F5" s="14">
        <v>163.59061505200012</v>
      </c>
      <c r="G5" s="5">
        <v>6.3436427151740027E-2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s="5" customFormat="1" ht="28.8" x14ac:dyDescent="0.3">
      <c r="A6" s="1" t="s">
        <v>51</v>
      </c>
      <c r="B6" s="1" t="s">
        <v>168</v>
      </c>
      <c r="C6" s="7" t="s">
        <v>180</v>
      </c>
      <c r="D6" s="1">
        <v>42313304.167000003</v>
      </c>
      <c r="E6" s="15">
        <v>4231.3304167000006</v>
      </c>
      <c r="F6" s="15">
        <v>42.313304167000005</v>
      </c>
      <c r="G6" s="9">
        <v>5.3042457944054579E-2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s="5" customFormat="1" ht="28.8" x14ac:dyDescent="0.3">
      <c r="A7" s="1" t="s">
        <v>51</v>
      </c>
      <c r="B7" s="1" t="s">
        <v>186</v>
      </c>
      <c r="C7" s="1" t="s">
        <v>181</v>
      </c>
      <c r="D7" s="1">
        <v>63229078.183000103</v>
      </c>
      <c r="E7" s="8">
        <v>6322.9078183000092</v>
      </c>
      <c r="F7" s="8">
        <v>63.229078183000098</v>
      </c>
      <c r="G7" s="9">
        <v>7.9261730710662837E-2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ht="28.8" x14ac:dyDescent="0.3">
      <c r="A8" s="1" t="s">
        <v>51</v>
      </c>
      <c r="B8" s="1" t="s">
        <v>188</v>
      </c>
      <c r="C8" s="7" t="s">
        <v>178</v>
      </c>
      <c r="D8" s="1">
        <v>194879860.86935723</v>
      </c>
      <c r="E8" s="8">
        <v>19487.986086935722</v>
      </c>
      <c r="F8" s="8">
        <v>194.87986086935723</v>
      </c>
      <c r="G8" s="9">
        <v>0.24429448438980109</v>
      </c>
    </row>
    <row r="9" spans="1:23" ht="28.8" x14ac:dyDescent="0.3">
      <c r="A9" s="1" t="s">
        <v>51</v>
      </c>
      <c r="B9" s="7" t="s">
        <v>187</v>
      </c>
      <c r="C9" s="7" t="s">
        <v>178</v>
      </c>
      <c r="D9" s="1">
        <v>487001126.32064176</v>
      </c>
      <c r="E9" s="1">
        <v>48700.112632064185</v>
      </c>
      <c r="F9" s="1">
        <v>487.00112632064179</v>
      </c>
      <c r="G9" s="9">
        <v>0.61048734600395349</v>
      </c>
    </row>
    <row r="10" spans="1:23" ht="28.8" x14ac:dyDescent="0.3">
      <c r="A10" s="1" t="s">
        <v>51</v>
      </c>
      <c r="B10" s="7" t="s">
        <v>57</v>
      </c>
      <c r="C10" s="7"/>
      <c r="D10" s="14">
        <v>10301807.743999828</v>
      </c>
      <c r="E10" s="14">
        <v>1030.1807743999827</v>
      </c>
      <c r="F10" s="14">
        <v>10.301807743999827</v>
      </c>
      <c r="G10" s="5">
        <v>1.2913980951527959E-2</v>
      </c>
    </row>
    <row r="11" spans="1:23" s="5" customFormat="1" x14ac:dyDescent="0.3">
      <c r="A11" s="4" t="s">
        <v>50</v>
      </c>
      <c r="B11" s="4" t="s">
        <v>193</v>
      </c>
      <c r="C11" s="4" t="s">
        <v>179</v>
      </c>
      <c r="D11" s="4">
        <v>49514210.125</v>
      </c>
      <c r="E11" s="14">
        <v>4951.4210125</v>
      </c>
      <c r="F11" s="14">
        <v>49.514210124999998</v>
      </c>
      <c r="G11" s="12">
        <v>0.13259478859330173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5" customFormat="1" x14ac:dyDescent="0.3">
      <c r="A12" s="4" t="s">
        <v>50</v>
      </c>
      <c r="B12" s="4" t="s">
        <v>189</v>
      </c>
      <c r="C12" s="4" t="s">
        <v>179</v>
      </c>
      <c r="D12" s="4">
        <v>58860408.868000001</v>
      </c>
      <c r="E12" s="5">
        <v>5886.0408868000004</v>
      </c>
      <c r="F12" s="5">
        <v>58.860408868</v>
      </c>
      <c r="G12" s="12">
        <v>0.15762310356289386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x14ac:dyDescent="0.3">
      <c r="A13" s="4" t="s">
        <v>50</v>
      </c>
      <c r="B13" s="4" t="s">
        <v>182</v>
      </c>
      <c r="C13" s="4" t="s">
        <v>179</v>
      </c>
      <c r="D13" s="4">
        <v>105221480.442</v>
      </c>
      <c r="E13" s="13">
        <v>10522.148044200001</v>
      </c>
      <c r="F13" s="13">
        <v>105.221480442</v>
      </c>
      <c r="G13" s="12">
        <v>0.28177405878957706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x14ac:dyDescent="0.3">
      <c r="A14" s="4" t="s">
        <v>50</v>
      </c>
      <c r="B14" s="4" t="s">
        <v>188</v>
      </c>
      <c r="C14" s="4" t="s">
        <v>179</v>
      </c>
      <c r="D14" s="4">
        <v>123966697.138999</v>
      </c>
      <c r="E14" s="5">
        <v>12396.669713899901</v>
      </c>
      <c r="F14" s="5">
        <v>123.966697138999</v>
      </c>
      <c r="G14" s="12">
        <v>0.33197213402493786</v>
      </c>
    </row>
    <row r="15" spans="1:23" x14ac:dyDescent="0.3">
      <c r="A15" s="4" t="s">
        <v>50</v>
      </c>
      <c r="B15" s="2" t="s">
        <v>57</v>
      </c>
      <c r="C15" s="4"/>
      <c r="D15" s="14">
        <v>35862212.434999853</v>
      </c>
      <c r="E15" s="14">
        <v>3586.2212434999851</v>
      </c>
      <c r="F15" s="14">
        <v>35.862212434999847</v>
      </c>
      <c r="G15" s="5">
        <v>9.6035915029289431E-2</v>
      </c>
    </row>
    <row r="16" spans="1:23" s="5" customFormat="1" x14ac:dyDescent="0.3">
      <c r="A16" s="1" t="s">
        <v>48</v>
      </c>
      <c r="B16" s="1" t="s">
        <v>191</v>
      </c>
      <c r="C16" s="1" t="s">
        <v>179</v>
      </c>
      <c r="D16" s="1">
        <v>84966866.701999903</v>
      </c>
      <c r="E16">
        <v>8496.6866701999897</v>
      </c>
      <c r="F16">
        <v>84.966866701999905</v>
      </c>
      <c r="G16" s="11">
        <v>5.4621195869414711E-2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s="5" customFormat="1" x14ac:dyDescent="0.3">
      <c r="A17" s="1" t="s">
        <v>48</v>
      </c>
      <c r="B17" s="1" t="s">
        <v>188</v>
      </c>
      <c r="C17" s="1" t="s">
        <v>179</v>
      </c>
      <c r="D17" s="1">
        <v>110451409.62099899</v>
      </c>
      <c r="E17">
        <v>11045.1409620999</v>
      </c>
      <c r="F17">
        <v>110.45140962099899</v>
      </c>
      <c r="G17" s="11">
        <v>7.1004007951955481E-2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s="5" customFormat="1" x14ac:dyDescent="0.3">
      <c r="A18" s="1" t="s">
        <v>48</v>
      </c>
      <c r="B18" s="1" t="s">
        <v>182</v>
      </c>
      <c r="C18" s="1" t="s">
        <v>179</v>
      </c>
      <c r="D18" s="1">
        <v>197317473.72799999</v>
      </c>
      <c r="E18">
        <v>19731.747372799997</v>
      </c>
      <c r="F18">
        <v>197.31747372799998</v>
      </c>
      <c r="G18" s="11">
        <v>0.12684610836310264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s="5" customFormat="1" x14ac:dyDescent="0.3">
      <c r="A19" s="1" t="s">
        <v>48</v>
      </c>
      <c r="B19" s="1" t="s">
        <v>198</v>
      </c>
      <c r="C19" s="1" t="s">
        <v>179</v>
      </c>
      <c r="D19" s="1">
        <v>292075364.669999</v>
      </c>
      <c r="E19" s="15">
        <v>29207.5364669999</v>
      </c>
      <c r="F19" s="15">
        <v>292.07536466999898</v>
      </c>
      <c r="G19" s="11">
        <v>0.18776149246768964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x14ac:dyDescent="0.3">
      <c r="A20" s="1" t="s">
        <v>48</v>
      </c>
      <c r="B20" s="1" t="s">
        <v>199</v>
      </c>
      <c r="C20" s="1" t="s">
        <v>179</v>
      </c>
      <c r="D20" s="1">
        <v>826783234.64600301</v>
      </c>
      <c r="E20">
        <v>82678.323464600297</v>
      </c>
      <c r="F20">
        <v>826.78323464600305</v>
      </c>
      <c r="G20" s="11">
        <v>0.53149999233859757</v>
      </c>
    </row>
    <row r="21" spans="1:23" x14ac:dyDescent="0.3">
      <c r="A21" s="1" t="s">
        <v>48</v>
      </c>
      <c r="B21" s="2" t="s">
        <v>57</v>
      </c>
      <c r="C21" s="1"/>
      <c r="D21" s="14">
        <v>43971495.531999849</v>
      </c>
      <c r="E21" s="14">
        <v>4397.1495531999853</v>
      </c>
      <c r="F21" s="14">
        <v>43.971495531999857</v>
      </c>
      <c r="G21" s="5">
        <v>2.8267203009239905E-2</v>
      </c>
    </row>
    <row r="22" spans="1:23" s="5" customFormat="1" x14ac:dyDescent="0.3">
      <c r="A22" s="4" t="s">
        <v>43</v>
      </c>
      <c r="B22" s="4" t="s">
        <v>186</v>
      </c>
      <c r="C22" s="4" t="s">
        <v>180</v>
      </c>
      <c r="D22" s="4">
        <v>18402266.006999999</v>
      </c>
      <c r="E22" s="12">
        <v>1840.2266006999998</v>
      </c>
      <c r="F22" s="12">
        <v>18.402266006999998</v>
      </c>
      <c r="G22" s="5">
        <v>6.1613478329574513E-2</v>
      </c>
    </row>
    <row r="23" spans="1:23" s="9" customFormat="1" x14ac:dyDescent="0.3">
      <c r="A23" s="4" t="s">
        <v>43</v>
      </c>
      <c r="B23" s="4" t="s">
        <v>188</v>
      </c>
      <c r="C23" s="4" t="s">
        <v>178</v>
      </c>
      <c r="D23" s="4">
        <v>77030370.762357861</v>
      </c>
      <c r="E23" s="13">
        <v>7703.037076235787</v>
      </c>
      <c r="F23" s="13">
        <v>77.030370762357862</v>
      </c>
      <c r="G23" s="5">
        <v>0.25790894870665726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3">
      <c r="A24" s="4" t="s">
        <v>43</v>
      </c>
      <c r="B24" s="4" t="s">
        <v>182</v>
      </c>
      <c r="C24" s="4" t="s">
        <v>178</v>
      </c>
      <c r="D24" s="4">
        <v>196669941.47564113</v>
      </c>
      <c r="E24" s="4">
        <v>19666.99414756411</v>
      </c>
      <c r="F24" s="4">
        <v>196.66994147564111</v>
      </c>
      <c r="G24" s="5">
        <v>0.6584797313862728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">
      <c r="A25" s="4" t="s">
        <v>43</v>
      </c>
      <c r="B25" s="2" t="s">
        <v>57</v>
      </c>
      <c r="C25" s="4"/>
      <c r="D25" s="14">
        <v>6570155.4799999967</v>
      </c>
      <c r="E25" s="14">
        <v>657.01554799999951</v>
      </c>
      <c r="F25" s="14">
        <v>6.5701554799999959</v>
      </c>
      <c r="G25" s="5">
        <v>2.1997841577495403E-2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s="5" customFormat="1" x14ac:dyDescent="0.3">
      <c r="A26" s="1" t="s">
        <v>38</v>
      </c>
      <c r="B26" s="1" t="s">
        <v>190</v>
      </c>
      <c r="C26" s="1" t="s">
        <v>179</v>
      </c>
      <c r="D26" s="1">
        <v>346574551.85699898</v>
      </c>
      <c r="E26" s="16">
        <v>34657.455185699895</v>
      </c>
      <c r="F26" s="16">
        <v>346.57455185699899</v>
      </c>
      <c r="G26" s="11">
        <v>0.21513685995316345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3" s="5" customFormat="1" x14ac:dyDescent="0.3">
      <c r="A27" s="1" t="s">
        <v>38</v>
      </c>
      <c r="B27" s="1" t="s">
        <v>193</v>
      </c>
      <c r="C27" s="1" t="s">
        <v>179</v>
      </c>
      <c r="D27" s="1">
        <v>365141850.063999</v>
      </c>
      <c r="E27">
        <v>36514.185006399901</v>
      </c>
      <c r="F27">
        <v>365.14185006399902</v>
      </c>
      <c r="G27" s="11">
        <v>0.22666254818579562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3" s="5" customFormat="1" x14ac:dyDescent="0.3">
      <c r="A28" s="1" t="s">
        <v>38</v>
      </c>
      <c r="B28" s="1" t="s">
        <v>188</v>
      </c>
      <c r="C28" s="1" t="s">
        <v>179</v>
      </c>
      <c r="D28" s="1">
        <v>386211356.13499892</v>
      </c>
      <c r="E28" s="8">
        <v>38621.135613499893</v>
      </c>
      <c r="F28" s="8">
        <v>386.21135613499888</v>
      </c>
      <c r="G28" s="11">
        <v>0.23974148705361339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3" x14ac:dyDescent="0.3">
      <c r="A29" s="1" t="s">
        <v>38</v>
      </c>
      <c r="B29" s="1" t="s">
        <v>187</v>
      </c>
      <c r="C29" s="1" t="s">
        <v>179</v>
      </c>
      <c r="D29" s="1">
        <v>467992911.08299899</v>
      </c>
      <c r="E29" s="8">
        <v>46799.291108299905</v>
      </c>
      <c r="F29" s="8">
        <v>467.992911082999</v>
      </c>
      <c r="G29" s="11">
        <v>0.29050755409265971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5"/>
      <c r="W29" s="5"/>
    </row>
    <row r="30" spans="1:23" x14ac:dyDescent="0.3">
      <c r="A30" s="1" t="s">
        <v>38</v>
      </c>
      <c r="B30" s="2" t="s">
        <v>57</v>
      </c>
      <c r="C30" s="1"/>
      <c r="D30" s="14">
        <v>45028528.18800009</v>
      </c>
      <c r="E30" s="14">
        <v>4502.8528188000091</v>
      </c>
      <c r="F30" s="14">
        <v>45.028528188000088</v>
      </c>
      <c r="G30" s="5">
        <v>2.7951550714767848E-2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5"/>
      <c r="W30" s="5"/>
    </row>
    <row r="31" spans="1:23" s="5" customFormat="1" x14ac:dyDescent="0.3">
      <c r="A31" s="4" t="s">
        <v>31</v>
      </c>
      <c r="B31" s="4" t="s">
        <v>200</v>
      </c>
      <c r="C31" s="4" t="s">
        <v>179</v>
      </c>
      <c r="D31" s="4">
        <v>115126918.603999</v>
      </c>
      <c r="E31" s="12">
        <v>11512.6918603999</v>
      </c>
      <c r="F31" s="12">
        <v>115.126918603999</v>
      </c>
      <c r="G31" s="5">
        <v>5.8359721604958462E-2</v>
      </c>
    </row>
    <row r="32" spans="1:23" s="5" customFormat="1" x14ac:dyDescent="0.3">
      <c r="A32" s="4" t="s">
        <v>31</v>
      </c>
      <c r="B32" s="4" t="s">
        <v>199</v>
      </c>
      <c r="C32" s="4" t="s">
        <v>179</v>
      </c>
      <c r="D32" s="4">
        <v>297711187.09799802</v>
      </c>
      <c r="E32" s="5">
        <v>29771.118709799801</v>
      </c>
      <c r="F32" s="5">
        <v>297.71118709799805</v>
      </c>
      <c r="G32" s="5">
        <v>0.15091467928090069</v>
      </c>
      <c r="U32"/>
      <c r="V32"/>
      <c r="W32"/>
    </row>
    <row r="33" spans="1:23" s="5" customFormat="1" x14ac:dyDescent="0.3">
      <c r="A33" s="4" t="s">
        <v>31</v>
      </c>
      <c r="B33" s="4" t="s">
        <v>188</v>
      </c>
      <c r="C33" s="4" t="s">
        <v>179</v>
      </c>
      <c r="D33" s="4">
        <v>565220530.03999996</v>
      </c>
      <c r="E33" s="13">
        <v>56522.053004000001</v>
      </c>
      <c r="F33" s="13">
        <v>565.22053004000009</v>
      </c>
      <c r="G33" s="5">
        <v>0.28651954884681224</v>
      </c>
      <c r="U33"/>
      <c r="V33"/>
      <c r="W33"/>
    </row>
    <row r="34" spans="1:23" x14ac:dyDescent="0.3">
      <c r="A34" s="4" t="s">
        <v>31</v>
      </c>
      <c r="B34" s="4" t="s">
        <v>182</v>
      </c>
      <c r="C34" s="4" t="s">
        <v>179</v>
      </c>
      <c r="D34" s="4">
        <v>685694328.57900095</v>
      </c>
      <c r="E34" s="5">
        <v>68569.432857900101</v>
      </c>
      <c r="F34" s="5">
        <v>685.69432857900097</v>
      </c>
      <c r="G34" s="5">
        <v>0.34758969150920532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3" x14ac:dyDescent="0.3">
      <c r="A35" s="4" t="s">
        <v>31</v>
      </c>
      <c r="B35" s="2" t="s">
        <v>57</v>
      </c>
      <c r="C35" s="4"/>
      <c r="D35" s="14">
        <v>308958958.18100005</v>
      </c>
      <c r="E35" s="14">
        <v>30895.895818100002</v>
      </c>
      <c r="F35" s="14">
        <v>308.95895818100007</v>
      </c>
      <c r="G35" s="5">
        <v>0.1566163587581233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3" s="5" customFormat="1" x14ac:dyDescent="0.3">
      <c r="A36" s="1" t="s">
        <v>30</v>
      </c>
      <c r="B36" s="1" t="s">
        <v>182</v>
      </c>
      <c r="C36" s="1" t="s">
        <v>179</v>
      </c>
      <c r="D36" s="1">
        <v>158785127.14399999</v>
      </c>
      <c r="E36">
        <v>15878.5127144</v>
      </c>
      <c r="F36">
        <v>158.785127144</v>
      </c>
      <c r="G36" s="11">
        <v>0.11221583297461046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1" t="s">
        <v>30</v>
      </c>
      <c r="B37" s="1" t="s">
        <v>190</v>
      </c>
      <c r="C37" s="1" t="s">
        <v>179</v>
      </c>
      <c r="D37" s="1">
        <v>337204718.83399999</v>
      </c>
      <c r="E37">
        <v>33720.471883400001</v>
      </c>
      <c r="F37">
        <v>337.204718834</v>
      </c>
      <c r="G37" s="11">
        <v>0.23830763678899425</v>
      </c>
    </row>
    <row r="38" spans="1:23" x14ac:dyDescent="0.3">
      <c r="A38" s="1" t="s">
        <v>30</v>
      </c>
      <c r="B38" s="1" t="s">
        <v>192</v>
      </c>
      <c r="C38" s="1" t="s">
        <v>179</v>
      </c>
      <c r="D38" s="1">
        <v>850085131.19700003</v>
      </c>
      <c r="E38">
        <v>85008.513119700001</v>
      </c>
      <c r="F38">
        <v>850.08513119700001</v>
      </c>
      <c r="G38" s="11">
        <v>0.60076792337163798</v>
      </c>
    </row>
    <row r="39" spans="1:23" x14ac:dyDescent="0.3">
      <c r="A39" s="1" t="s">
        <v>30</v>
      </c>
      <c r="B39" s="2" t="s">
        <v>57</v>
      </c>
      <c r="C39" s="1"/>
      <c r="D39" s="14">
        <v>68922558.688999906</v>
      </c>
      <c r="E39" s="14">
        <v>6892.2558688999898</v>
      </c>
      <c r="F39" s="14">
        <v>68.922558688999899</v>
      </c>
      <c r="G39" s="5">
        <v>4.8708606864757309E-2</v>
      </c>
    </row>
    <row r="40" spans="1:23" x14ac:dyDescent="0.3">
      <c r="A40" s="4" t="s">
        <v>12</v>
      </c>
      <c r="B40" s="4" t="s">
        <v>186</v>
      </c>
      <c r="C40" s="4" t="s">
        <v>181</v>
      </c>
      <c r="D40" s="4">
        <v>90936348.899000004</v>
      </c>
      <c r="E40" s="5">
        <v>9093.6348899000004</v>
      </c>
      <c r="F40" s="5">
        <v>90.936348899000009</v>
      </c>
      <c r="G40" s="5">
        <v>0.96649772256066158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">
      <c r="A41" s="4" t="s">
        <v>12</v>
      </c>
      <c r="B41" s="2" t="s">
        <v>57</v>
      </c>
      <c r="C41" s="4"/>
      <c r="D41" s="5">
        <v>3152179.9990000073</v>
      </c>
      <c r="E41" s="5">
        <v>315.21799990000073</v>
      </c>
      <c r="F41" s="5">
        <v>3.1521799990000074</v>
      </c>
      <c r="G41" s="5">
        <v>3.3502277439338424E-2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s="5" customFormat="1" x14ac:dyDescent="0.3">
      <c r="A42" s="1" t="s">
        <v>4</v>
      </c>
      <c r="B42" s="1" t="s">
        <v>182</v>
      </c>
      <c r="C42" s="1" t="s">
        <v>179</v>
      </c>
      <c r="D42" s="1">
        <v>40040804.751999997</v>
      </c>
      <c r="E42">
        <v>4004.0804751999995</v>
      </c>
      <c r="F42">
        <v>40.040804752</v>
      </c>
      <c r="G42" s="9">
        <v>6.2763684317313148E-2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x14ac:dyDescent="0.3">
      <c r="A43" s="1" t="s">
        <v>4</v>
      </c>
      <c r="B43" s="1" t="s">
        <v>198</v>
      </c>
      <c r="C43" s="1" t="s">
        <v>179</v>
      </c>
      <c r="D43" s="1">
        <v>560369973.61500001</v>
      </c>
      <c r="E43">
        <v>56036.997361499998</v>
      </c>
      <c r="F43">
        <v>560.36997361500005</v>
      </c>
      <c r="G43" s="9">
        <v>0.87837605519445039</v>
      </c>
    </row>
    <row r="44" spans="1:23" x14ac:dyDescent="0.3">
      <c r="A44" s="1" t="s">
        <v>4</v>
      </c>
      <c r="B44" s="2" t="s">
        <v>57</v>
      </c>
      <c r="D44" s="14">
        <v>37550571.217999972</v>
      </c>
      <c r="E44" s="14">
        <v>3755.0571217999973</v>
      </c>
      <c r="F44" s="14">
        <v>37.550571217999973</v>
      </c>
      <c r="G44" s="5">
        <v>5.8860260488236449E-2</v>
      </c>
    </row>
  </sheetData>
  <sortState xmlns:xlrd2="http://schemas.microsoft.com/office/spreadsheetml/2017/richdata2" ref="A2:XFB69">
    <sortCondition ref="A2:A6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1185-E743-41DA-9042-073D648EB1A3}">
  <dimension ref="A1:W15"/>
  <sheetViews>
    <sheetView topLeftCell="M1" workbookViewId="0">
      <selection activeCell="T18" sqref="T18"/>
    </sheetView>
  </sheetViews>
  <sheetFormatPr defaultRowHeight="14.4" x14ac:dyDescent="0.3"/>
  <cols>
    <col min="1" max="1" width="40.88671875" customWidth="1"/>
    <col min="13" max="13" width="42.33203125" customWidth="1"/>
  </cols>
  <sheetData>
    <row r="1" spans="1:23" x14ac:dyDescent="0.3">
      <c r="A1" t="s">
        <v>202</v>
      </c>
      <c r="B1" t="s">
        <v>53</v>
      </c>
      <c r="C1" t="s">
        <v>51</v>
      </c>
      <c r="D1" t="s">
        <v>50</v>
      </c>
      <c r="E1" t="s">
        <v>48</v>
      </c>
      <c r="F1" t="s">
        <v>43</v>
      </c>
      <c r="G1" t="s">
        <v>38</v>
      </c>
      <c r="H1" t="s">
        <v>31</v>
      </c>
      <c r="I1" t="s">
        <v>30</v>
      </c>
      <c r="J1" t="s">
        <v>12</v>
      </c>
      <c r="K1" t="s">
        <v>4</v>
      </c>
      <c r="M1" t="s">
        <v>202</v>
      </c>
      <c r="N1" t="s">
        <v>50</v>
      </c>
      <c r="O1" t="s">
        <v>53</v>
      </c>
      <c r="P1" t="s">
        <v>38</v>
      </c>
      <c r="Q1" t="s">
        <v>31</v>
      </c>
      <c r="R1" t="s">
        <v>12</v>
      </c>
      <c r="S1" t="s">
        <v>51</v>
      </c>
      <c r="T1" t="s">
        <v>48</v>
      </c>
      <c r="U1" t="s">
        <v>43</v>
      </c>
      <c r="V1" t="s">
        <v>30</v>
      </c>
      <c r="W1" t="s">
        <v>4</v>
      </c>
    </row>
    <row r="2" spans="1:23" x14ac:dyDescent="0.3">
      <c r="A2" t="s">
        <v>187</v>
      </c>
      <c r="B2">
        <v>65798.425300000003</v>
      </c>
      <c r="C2">
        <v>48700.112630000003</v>
      </c>
      <c r="D2">
        <v>10522.14804</v>
      </c>
      <c r="E2">
        <v>19731.747370000001</v>
      </c>
      <c r="F2">
        <v>19666.994149999999</v>
      </c>
      <c r="G2">
        <v>46799.291109999998</v>
      </c>
      <c r="H2">
        <v>68569.432860000001</v>
      </c>
      <c r="I2">
        <v>15878.512710000001</v>
      </c>
      <c r="J2" t="s">
        <v>58</v>
      </c>
      <c r="K2">
        <v>4004.0804750000002</v>
      </c>
      <c r="M2" t="s">
        <v>187</v>
      </c>
      <c r="N2">
        <v>11000</v>
      </c>
      <c r="O2">
        <v>66000</v>
      </c>
      <c r="P2">
        <v>47000</v>
      </c>
      <c r="Q2">
        <v>69000</v>
      </c>
      <c r="R2" t="s">
        <v>58</v>
      </c>
      <c r="S2">
        <v>49000</v>
      </c>
      <c r="T2">
        <v>20000</v>
      </c>
      <c r="U2">
        <v>20000</v>
      </c>
      <c r="V2">
        <v>16000</v>
      </c>
      <c r="W2">
        <v>4000</v>
      </c>
    </row>
    <row r="3" spans="1:23" x14ac:dyDescent="0.3">
      <c r="A3" t="s">
        <v>188</v>
      </c>
      <c r="B3">
        <v>19610.224099999999</v>
      </c>
      <c r="C3">
        <v>19487.986089999999</v>
      </c>
      <c r="D3">
        <v>12396.66971</v>
      </c>
      <c r="E3">
        <v>11045.140960000001</v>
      </c>
      <c r="F3">
        <v>7703.0370759999996</v>
      </c>
      <c r="G3">
        <v>38621.135609999998</v>
      </c>
      <c r="H3">
        <v>56522.053</v>
      </c>
      <c r="I3" t="s">
        <v>58</v>
      </c>
      <c r="J3" t="s">
        <v>58</v>
      </c>
      <c r="K3" t="s">
        <v>58</v>
      </c>
      <c r="M3" t="s">
        <v>188</v>
      </c>
      <c r="N3">
        <v>12000</v>
      </c>
      <c r="O3">
        <v>20000</v>
      </c>
      <c r="P3">
        <v>39000</v>
      </c>
      <c r="Q3">
        <v>57000</v>
      </c>
      <c r="R3" t="s">
        <v>58</v>
      </c>
      <c r="S3">
        <v>19000</v>
      </c>
      <c r="T3">
        <v>11000</v>
      </c>
      <c r="U3">
        <v>8000</v>
      </c>
      <c r="V3" t="s">
        <v>58</v>
      </c>
      <c r="W3" t="s">
        <v>58</v>
      </c>
    </row>
    <row r="4" spans="1:23" x14ac:dyDescent="0.3">
      <c r="A4" t="s">
        <v>198</v>
      </c>
      <c r="B4" t="s">
        <v>58</v>
      </c>
      <c r="C4" t="s">
        <v>58</v>
      </c>
      <c r="D4" t="s">
        <v>58</v>
      </c>
      <c r="E4">
        <v>29207.536469999999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>
        <v>56036.997360000001</v>
      </c>
      <c r="M4" t="s">
        <v>198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S4" t="s">
        <v>58</v>
      </c>
      <c r="T4">
        <v>29000</v>
      </c>
      <c r="U4" t="s">
        <v>58</v>
      </c>
      <c r="V4" t="s">
        <v>58</v>
      </c>
      <c r="W4">
        <v>56000</v>
      </c>
    </row>
    <row r="5" spans="1:23" x14ac:dyDescent="0.3">
      <c r="A5" t="s">
        <v>199</v>
      </c>
      <c r="B5" t="s">
        <v>58</v>
      </c>
      <c r="C5" t="s">
        <v>58</v>
      </c>
      <c r="D5" t="s">
        <v>58</v>
      </c>
      <c r="E5">
        <v>82678.32346</v>
      </c>
      <c r="F5" t="s">
        <v>58</v>
      </c>
      <c r="G5" t="s">
        <v>58</v>
      </c>
      <c r="H5">
        <v>29771.118709999999</v>
      </c>
      <c r="I5" t="s">
        <v>58</v>
      </c>
      <c r="J5" t="s">
        <v>58</v>
      </c>
      <c r="K5" t="s">
        <v>58</v>
      </c>
      <c r="M5" t="s">
        <v>199</v>
      </c>
      <c r="N5" t="s">
        <v>58</v>
      </c>
      <c r="O5" t="s">
        <v>58</v>
      </c>
      <c r="P5" t="s">
        <v>58</v>
      </c>
      <c r="Q5">
        <v>30000</v>
      </c>
      <c r="R5" t="s">
        <v>58</v>
      </c>
      <c r="S5" t="s">
        <v>58</v>
      </c>
      <c r="T5">
        <v>83000</v>
      </c>
      <c r="U5" t="s">
        <v>58</v>
      </c>
      <c r="V5" t="s">
        <v>58</v>
      </c>
      <c r="W5" t="s">
        <v>58</v>
      </c>
    </row>
    <row r="6" spans="1:23" x14ac:dyDescent="0.3">
      <c r="A6" t="s">
        <v>189</v>
      </c>
      <c r="B6" t="s">
        <v>58</v>
      </c>
      <c r="C6" t="s">
        <v>58</v>
      </c>
      <c r="D6">
        <v>5886.0408870000001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M6" t="s">
        <v>189</v>
      </c>
      <c r="N6">
        <v>6000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</row>
    <row r="7" spans="1:23" x14ac:dyDescent="0.3">
      <c r="A7" t="s">
        <v>193</v>
      </c>
      <c r="B7">
        <v>156113.48199999999</v>
      </c>
      <c r="C7" t="s">
        <v>58</v>
      </c>
      <c r="D7">
        <v>4951.4210130000001</v>
      </c>
      <c r="E7" t="s">
        <v>58</v>
      </c>
      <c r="F7" t="s">
        <v>58</v>
      </c>
      <c r="G7">
        <v>36514.185010000001</v>
      </c>
      <c r="H7" t="s">
        <v>58</v>
      </c>
      <c r="I7" t="s">
        <v>58</v>
      </c>
      <c r="J7" t="s">
        <v>58</v>
      </c>
      <c r="K7" t="s">
        <v>58</v>
      </c>
      <c r="M7" t="s">
        <v>193</v>
      </c>
      <c r="N7">
        <v>5000</v>
      </c>
      <c r="O7">
        <v>156000</v>
      </c>
      <c r="P7">
        <v>37000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</row>
    <row r="8" spans="1:23" x14ac:dyDescent="0.3">
      <c r="A8" t="s">
        <v>190</v>
      </c>
      <c r="B8" t="s">
        <v>58</v>
      </c>
      <c r="C8" t="s">
        <v>58</v>
      </c>
      <c r="D8" t="s">
        <v>58</v>
      </c>
      <c r="E8" t="s">
        <v>58</v>
      </c>
      <c r="F8" t="s">
        <v>58</v>
      </c>
      <c r="G8">
        <v>34657.455190000001</v>
      </c>
      <c r="H8" t="s">
        <v>58</v>
      </c>
      <c r="I8">
        <v>33720.471879999997</v>
      </c>
      <c r="J8" t="s">
        <v>58</v>
      </c>
      <c r="K8" t="s">
        <v>58</v>
      </c>
      <c r="M8" t="s">
        <v>190</v>
      </c>
      <c r="N8" t="s">
        <v>58</v>
      </c>
      <c r="O8" t="s">
        <v>58</v>
      </c>
      <c r="P8">
        <v>35000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>
        <v>34000</v>
      </c>
      <c r="W8" t="s">
        <v>58</v>
      </c>
    </row>
    <row r="9" spans="1:23" x14ac:dyDescent="0.3">
      <c r="A9" t="s">
        <v>192</v>
      </c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>
        <v>85008.513120000003</v>
      </c>
      <c r="J9" t="s">
        <v>58</v>
      </c>
      <c r="K9" t="s">
        <v>58</v>
      </c>
      <c r="M9" t="s">
        <v>192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>
        <v>85000</v>
      </c>
      <c r="W9" t="s">
        <v>58</v>
      </c>
    </row>
    <row r="10" spans="1:23" x14ac:dyDescent="0.3">
      <c r="A10" t="s">
        <v>168</v>
      </c>
      <c r="B10" t="s">
        <v>58</v>
      </c>
      <c r="C10">
        <v>4231.3304170000001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M10" t="s">
        <v>168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>
        <v>4000</v>
      </c>
      <c r="T10" t="s">
        <v>58</v>
      </c>
      <c r="U10" t="s">
        <v>58</v>
      </c>
      <c r="V10" t="s">
        <v>58</v>
      </c>
      <c r="W10" t="s">
        <v>58</v>
      </c>
    </row>
    <row r="11" spans="1:23" x14ac:dyDescent="0.3">
      <c r="A11" t="s">
        <v>191</v>
      </c>
      <c r="B11" t="s">
        <v>58</v>
      </c>
      <c r="C11" t="s">
        <v>58</v>
      </c>
      <c r="D11" t="s">
        <v>58</v>
      </c>
      <c r="E11">
        <v>8496.6866699999991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M11" t="s">
        <v>191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>
        <v>8000</v>
      </c>
      <c r="U11" t="s">
        <v>58</v>
      </c>
      <c r="V11" t="s">
        <v>58</v>
      </c>
      <c r="W11" t="s">
        <v>58</v>
      </c>
    </row>
    <row r="12" spans="1:23" x14ac:dyDescent="0.3">
      <c r="A12" t="s">
        <v>186</v>
      </c>
      <c r="B12" t="s">
        <v>58</v>
      </c>
      <c r="C12">
        <v>6322.9078179999997</v>
      </c>
      <c r="D12" t="s">
        <v>58</v>
      </c>
      <c r="E12" t="s">
        <v>58</v>
      </c>
      <c r="F12">
        <v>1840.2266010000001</v>
      </c>
      <c r="G12" t="s">
        <v>58</v>
      </c>
      <c r="H12" t="s">
        <v>58</v>
      </c>
      <c r="I12" t="s">
        <v>58</v>
      </c>
      <c r="J12">
        <v>9093.6348899999994</v>
      </c>
      <c r="K12" t="s">
        <v>58</v>
      </c>
      <c r="M12" t="s">
        <v>186</v>
      </c>
      <c r="N12" t="s">
        <v>58</v>
      </c>
      <c r="O12" t="s">
        <v>58</v>
      </c>
      <c r="P12" t="s">
        <v>58</v>
      </c>
      <c r="Q12" t="s">
        <v>58</v>
      </c>
      <c r="R12">
        <v>9000</v>
      </c>
      <c r="S12">
        <v>6000</v>
      </c>
      <c r="T12" t="s">
        <v>58</v>
      </c>
      <c r="U12">
        <v>2000</v>
      </c>
      <c r="V12" t="s">
        <v>58</v>
      </c>
      <c r="W12" t="s">
        <v>58</v>
      </c>
    </row>
    <row r="13" spans="1:23" x14ac:dyDescent="0.3">
      <c r="A13" t="s">
        <v>200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>
        <v>11512.691860000001</v>
      </c>
      <c r="I13" t="s">
        <v>58</v>
      </c>
      <c r="J13" t="s">
        <v>58</v>
      </c>
      <c r="K13" t="s">
        <v>58</v>
      </c>
      <c r="M13" t="s">
        <v>200</v>
      </c>
      <c r="N13" t="s">
        <v>58</v>
      </c>
      <c r="O13" t="s">
        <v>58</v>
      </c>
      <c r="P13" t="s">
        <v>58</v>
      </c>
      <c r="Q13">
        <v>12000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</row>
    <row r="14" spans="1:23" x14ac:dyDescent="0.3">
      <c r="A14" t="s">
        <v>57</v>
      </c>
      <c r="B14">
        <v>16359.06151</v>
      </c>
      <c r="C14">
        <v>1030.1807739999999</v>
      </c>
      <c r="D14">
        <v>3586.221243</v>
      </c>
      <c r="E14">
        <v>4397.1495530000002</v>
      </c>
      <c r="F14">
        <v>657.01554799999997</v>
      </c>
      <c r="G14">
        <v>4502.8528189999997</v>
      </c>
      <c r="H14">
        <v>30895.895820000002</v>
      </c>
      <c r="I14">
        <v>6892.2558689999996</v>
      </c>
      <c r="J14">
        <v>315.2179999</v>
      </c>
      <c r="K14">
        <v>3755.0571220000002</v>
      </c>
      <c r="M14" t="s">
        <v>57</v>
      </c>
      <c r="N14">
        <v>4000</v>
      </c>
      <c r="O14">
        <v>16000</v>
      </c>
      <c r="P14">
        <v>5000</v>
      </c>
      <c r="Q14">
        <v>31000</v>
      </c>
      <c r="R14">
        <v>0</v>
      </c>
      <c r="S14">
        <v>1000</v>
      </c>
      <c r="T14">
        <v>4000</v>
      </c>
      <c r="U14">
        <v>1000</v>
      </c>
      <c r="V14">
        <v>7000</v>
      </c>
      <c r="W14">
        <v>4000</v>
      </c>
    </row>
    <row r="15" spans="1:23" x14ac:dyDescent="0.3">
      <c r="A15" t="s">
        <v>203</v>
      </c>
      <c r="B15">
        <f>SUM(B2:B14)</f>
        <v>257881.19290999998</v>
      </c>
      <c r="C15">
        <f t="shared" ref="C15:K15" si="0">SUM(C2:C14)</f>
        <v>79772.517728999999</v>
      </c>
      <c r="D15">
        <f t="shared" si="0"/>
        <v>37342.500893000004</v>
      </c>
      <c r="E15">
        <f t="shared" si="0"/>
        <v>155556.58448299998</v>
      </c>
      <c r="F15">
        <f t="shared" si="0"/>
        <v>29867.273374999997</v>
      </c>
      <c r="G15">
        <f t="shared" si="0"/>
        <v>161094.91973899998</v>
      </c>
      <c r="H15">
        <f t="shared" si="0"/>
        <v>197271.19224999999</v>
      </c>
      <c r="I15">
        <f t="shared" si="0"/>
        <v>141499.75357899998</v>
      </c>
      <c r="J15">
        <f t="shared" si="0"/>
        <v>9408.8528898999994</v>
      </c>
      <c r="K15">
        <f t="shared" si="0"/>
        <v>63796.134957000002</v>
      </c>
      <c r="M15" t="s">
        <v>203</v>
      </c>
      <c r="N15">
        <v>37000</v>
      </c>
      <c r="O15">
        <v>258000</v>
      </c>
      <c r="P15">
        <v>161000</v>
      </c>
      <c r="Q15">
        <v>197000</v>
      </c>
      <c r="R15">
        <v>9000</v>
      </c>
      <c r="S15">
        <v>80000</v>
      </c>
      <c r="T15">
        <v>156000</v>
      </c>
      <c r="U15">
        <v>30000</v>
      </c>
      <c r="V15">
        <v>141000</v>
      </c>
      <c r="W15">
        <v>64000</v>
      </c>
    </row>
  </sheetData>
  <sortState xmlns:xlrd2="http://schemas.microsoft.com/office/spreadsheetml/2017/richdata2" ref="A2:W14">
    <sortCondition descending="1" ref="L2:L1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All_ANAE</vt:lpstr>
      <vt:lpstr>Major_&gt;1%</vt:lpstr>
      <vt:lpstr>Major_&gt;5%</vt:lpstr>
      <vt:lpstr>summary</vt:lpstr>
      <vt:lpstr>state_vege_raw</vt:lpstr>
      <vt:lpstr>state_vege_&gt;0.5%</vt:lpstr>
      <vt:lpstr>state_vege_conglom_1%</vt:lpstr>
      <vt:lpstr>vege_5%</vt:lpstr>
      <vt:lpstr>state_summ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2021-07-07T04:53:57Z</dcterms:created>
  <dcterms:modified xsi:type="dcterms:W3CDTF">2021-09-29T06:10:00Z</dcterms:modified>
</cp:coreProperties>
</file>